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PROYECTOS\DREMO VIRTUAL\documentos\Formatos plantilla GORE\"/>
    </mc:Choice>
  </mc:AlternateContent>
  <xr:revisionPtr revIDLastSave="0" documentId="8_{F3485470-352C-4603-B5F9-2C2819254F00}" xr6:coauthVersionLast="47" xr6:coauthVersionMax="47" xr10:uidLastSave="{00000000-0000-0000-0000-000000000000}"/>
  <workbookProtection workbookAlgorithmName="SHA-512" workbookHashValue="npZ5ngIRDXNTsGXJU4zRZLbBckUEYGDP1oQ2xmv/oupg1ozmPjmtJwtOTwYD/Yhedhw0plgax+FP0PUArTamQg==" workbookSaltValue="D9YwHnT0iC7Ro+JjLBmuZw==" workbookSpinCount="100000" lockStructure="1"/>
  <bookViews>
    <workbookView xWindow="23880" yWindow="-120" windowWidth="29040" windowHeight="15720" tabRatio="830" firstSheet="1" activeTab="6" xr2:uid="{D6A5A8CA-6656-4678-A9EE-6639E709C3A4}"/>
  </bookViews>
  <sheets>
    <sheet name="INDICACIONES" sheetId="18" state="hidden" r:id="rId1"/>
    <sheet name="INICIO" sheetId="19" r:id="rId2"/>
    <sheet name="Anexo 01" sheetId="6" r:id="rId3"/>
    <sheet name="Anexo 02-A" sheetId="5" r:id="rId4"/>
    <sheet name="Anexo 03" sheetId="22" r:id="rId5"/>
    <sheet name="Anexo 04" sheetId="13" r:id="rId6"/>
    <sheet name="Anexo 05" sheetId="8" r:id="rId7"/>
    <sheet name="DIRECTOR" sheetId="27" state="hidden" r:id="rId8"/>
    <sheet name="DATA" sheetId="25" state="hidden" r:id="rId9"/>
    <sheet name="Plan de Estudios" sheetId="14" state="hidden" r:id="rId10"/>
    <sheet name="Hoja3" sheetId="28" state="hidden" r:id="rId11"/>
    <sheet name="Hoja4" sheetId="29" state="hidden" r:id="rId12"/>
  </sheets>
  <functionGroups builtInGroupCount="19"/>
  <externalReferences>
    <externalReference r:id="rId13"/>
  </externalReferences>
  <definedNames>
    <definedName name="_xlnm._FilterDatabase" localSheetId="8" hidden="1">DATA!$F$2:$AB$55</definedName>
    <definedName name="_xlnm._FilterDatabase" localSheetId="7" hidden="1">DIRECTOR!$B$2:$AA$10</definedName>
    <definedName name="_xlnm._FilterDatabase" localSheetId="11" hidden="1">Hoja4!$A$1:$C$1</definedName>
    <definedName name="area">'Plan de Estudios'!$C$5:$C$16</definedName>
    <definedName name="_xlnm.Print_Area" localSheetId="2">'Anexo 01'!$A$1:$O$111</definedName>
    <definedName name="_xlnm.Print_Area" localSheetId="3">'Anexo 02-A'!$B$1:$T$26</definedName>
    <definedName name="_xlnm.Print_Area" localSheetId="5">'Anexo 04'!$A$1:$F$21</definedName>
    <definedName name="_xlnm.Print_Area" localSheetId="6">'Anexo 05'!$A$1:$I$34</definedName>
    <definedName name="areas">'Plan de Estudios'!$L$5:$L$19</definedName>
    <definedName name="areass">'Plan de Estudios'!$L$5:$L$22</definedName>
    <definedName name="areass2">'Plan de Estudios'!$L$27:$L$44</definedName>
    <definedName name="charamaya">'Plan de Estudios'!$L$48:$L$65</definedName>
    <definedName name="_xlnm.Print_Titles" localSheetId="4">'Anexo 03'!$1:$6</definedName>
    <definedName name="TURNO_DEL_NIVEL_SECUNDARIA">[1]BASE!$G$5:$G$7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22" l="1"/>
  <c r="P10" i="27" l="1"/>
  <c r="P9" i="27"/>
  <c r="P8" i="27"/>
  <c r="P7" i="27"/>
  <c r="P6" i="27"/>
  <c r="P5" i="27"/>
  <c r="P4" i="27"/>
  <c r="P3" i="27"/>
  <c r="G97" i="6"/>
  <c r="N110" i="22"/>
  <c r="N109" i="22"/>
  <c r="N108" i="22"/>
  <c r="N107" i="22"/>
  <c r="N106" i="22"/>
  <c r="N105" i="22"/>
  <c r="N104" i="22"/>
  <c r="N103" i="22"/>
  <c r="N86" i="22"/>
  <c r="N85" i="22"/>
  <c r="N84" i="22"/>
  <c r="N83" i="22"/>
  <c r="N82" i="22"/>
  <c r="N81" i="22"/>
  <c r="N80" i="22"/>
  <c r="N79" i="22"/>
  <c r="N94" i="22"/>
  <c r="N93" i="22"/>
  <c r="N92" i="22"/>
  <c r="N91" i="22"/>
  <c r="N90" i="22"/>
  <c r="N89" i="22"/>
  <c r="N88" i="22"/>
  <c r="N87" i="22"/>
  <c r="N62" i="22"/>
  <c r="N61" i="22"/>
  <c r="N60" i="22"/>
  <c r="N59" i="22"/>
  <c r="N58" i="22"/>
  <c r="N57" i="22"/>
  <c r="N56" i="22"/>
  <c r="N55" i="22"/>
  <c r="N70" i="22"/>
  <c r="N69" i="22"/>
  <c r="N68" i="22"/>
  <c r="N67" i="22"/>
  <c r="N66" i="22"/>
  <c r="N65" i="22"/>
  <c r="N64" i="22"/>
  <c r="N63" i="22"/>
  <c r="N78" i="22"/>
  <c r="N77" i="22"/>
  <c r="N76" i="22"/>
  <c r="N75" i="22"/>
  <c r="N74" i="22"/>
  <c r="N73" i="22"/>
  <c r="N72" i="22"/>
  <c r="N71" i="22"/>
  <c r="N102" i="22"/>
  <c r="N101" i="22"/>
  <c r="N100" i="22"/>
  <c r="N99" i="22"/>
  <c r="N98" i="22"/>
  <c r="N97" i="22"/>
  <c r="N96" i="22"/>
  <c r="N95" i="22"/>
  <c r="N113" i="22"/>
  <c r="N114" i="22"/>
  <c r="N115" i="22"/>
  <c r="N116" i="22"/>
  <c r="N117" i="22"/>
  <c r="N112" i="22"/>
  <c r="N49" i="22"/>
  <c r="N50" i="22"/>
  <c r="N51" i="22"/>
  <c r="N52" i="22"/>
  <c r="N53" i="22"/>
  <c r="N48" i="22"/>
  <c r="N41" i="22"/>
  <c r="N42" i="22"/>
  <c r="N43" i="22"/>
  <c r="N44" i="22"/>
  <c r="N45" i="22"/>
  <c r="N40" i="22"/>
  <c r="N33" i="22"/>
  <c r="N34" i="22"/>
  <c r="N35" i="22"/>
  <c r="N36" i="22"/>
  <c r="N37" i="22"/>
  <c r="N32" i="22"/>
  <c r="N25" i="22"/>
  <c r="N26" i="22"/>
  <c r="N27" i="22"/>
  <c r="N28" i="22"/>
  <c r="N29" i="22"/>
  <c r="N24" i="22"/>
  <c r="N21" i="22"/>
  <c r="N17" i="22"/>
  <c r="N18" i="22"/>
  <c r="N19" i="22"/>
  <c r="N20" i="22"/>
  <c r="N16" i="22"/>
  <c r="G109" i="6"/>
  <c r="G108" i="6"/>
  <c r="G107" i="6"/>
  <c r="G106" i="6"/>
  <c r="G105" i="6"/>
  <c r="G104" i="6"/>
  <c r="G103" i="6"/>
  <c r="G102" i="6"/>
  <c r="G101" i="6"/>
  <c r="G100" i="6"/>
  <c r="G99" i="6"/>
  <c r="G98" i="6"/>
  <c r="G96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U24" i="19"/>
  <c r="B20" i="19"/>
  <c r="U16" i="19"/>
  <c r="B16" i="19"/>
  <c r="L12" i="19"/>
  <c r="B12" i="19"/>
  <c r="E6" i="8" s="1"/>
  <c r="Z8" i="19"/>
  <c r="B8" i="19"/>
  <c r="E5" i="8" s="1"/>
  <c r="B18" i="25"/>
  <c r="P55" i="25"/>
  <c r="P54" i="25"/>
  <c r="P53" i="25"/>
  <c r="P52" i="25"/>
  <c r="L52" i="25" s="1"/>
  <c r="P51" i="25"/>
  <c r="L51" i="25" s="1"/>
  <c r="P50" i="25"/>
  <c r="L50" i="25" s="1"/>
  <c r="P49" i="25"/>
  <c r="L49" i="25" s="1"/>
  <c r="P48" i="25"/>
  <c r="L48" i="25" s="1"/>
  <c r="P47" i="25"/>
  <c r="L47" i="25" s="1"/>
  <c r="P46" i="25"/>
  <c r="P45" i="25"/>
  <c r="P44" i="25"/>
  <c r="L44" i="25" s="1"/>
  <c r="P43" i="25"/>
  <c r="P42" i="25"/>
  <c r="P41" i="25"/>
  <c r="L41" i="25" s="1"/>
  <c r="P40" i="25"/>
  <c r="L40" i="25" s="1"/>
  <c r="P39" i="25"/>
  <c r="L39" i="25" s="1"/>
  <c r="P38" i="25"/>
  <c r="L38" i="25" s="1"/>
  <c r="P37" i="25"/>
  <c r="L37" i="25" s="1"/>
  <c r="P36" i="25"/>
  <c r="L36" i="25" s="1"/>
  <c r="P35" i="25"/>
  <c r="L35" i="25" s="1"/>
  <c r="P34" i="25"/>
  <c r="L34" i="25" s="1"/>
  <c r="P33" i="25"/>
  <c r="L33" i="25" s="1"/>
  <c r="P32" i="25"/>
  <c r="L32" i="25" s="1"/>
  <c r="P31" i="25"/>
  <c r="L31" i="25" s="1"/>
  <c r="P30" i="25"/>
  <c r="L30" i="25" s="1"/>
  <c r="P29" i="25"/>
  <c r="P28" i="25"/>
  <c r="L28" i="25" s="1"/>
  <c r="P27" i="25"/>
  <c r="P26" i="25"/>
  <c r="L26" i="25"/>
  <c r="P25" i="25"/>
  <c r="L25" i="25" s="1"/>
  <c r="P24" i="25"/>
  <c r="L24" i="25" s="1"/>
  <c r="P23" i="25"/>
  <c r="L23" i="25"/>
  <c r="P22" i="25"/>
  <c r="L22" i="25" s="1"/>
  <c r="P21" i="25"/>
  <c r="L21" i="25" s="1"/>
  <c r="P20" i="25"/>
  <c r="L20" i="25" s="1"/>
  <c r="P19" i="25"/>
  <c r="L19" i="25" s="1"/>
  <c r="P18" i="25"/>
  <c r="P17" i="25"/>
  <c r="L17" i="25"/>
  <c r="P16" i="25"/>
  <c r="L16" i="25" s="1"/>
  <c r="P15" i="25"/>
  <c r="L15" i="25" s="1"/>
  <c r="P14" i="25"/>
  <c r="L14" i="25" s="1"/>
  <c r="P13" i="25"/>
  <c r="L13" i="25" s="1"/>
  <c r="P12" i="25"/>
  <c r="L12" i="25" s="1"/>
  <c r="P11" i="25"/>
  <c r="L11" i="25" s="1"/>
  <c r="P10" i="25"/>
  <c r="L10" i="25" s="1"/>
  <c r="P9" i="25"/>
  <c r="L9" i="25"/>
  <c r="P8" i="25"/>
  <c r="L8" i="25" s="1"/>
  <c r="P7" i="25"/>
  <c r="L7" i="25" s="1"/>
  <c r="P6" i="25"/>
  <c r="L6" i="25" s="1"/>
  <c r="P5" i="25"/>
  <c r="L5" i="25" s="1"/>
  <c r="P4" i="25"/>
  <c r="L4" i="25" s="1"/>
  <c r="P3" i="25"/>
  <c r="L3" i="25" s="1"/>
  <c r="B19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G6" i="22"/>
  <c r="L40" i="14"/>
  <c r="L41" i="14"/>
  <c r="L42" i="14"/>
  <c r="L43" i="14"/>
  <c r="A81" i="28"/>
  <c r="A55" i="28"/>
  <c r="A42" i="28"/>
  <c r="A29" i="28"/>
  <c r="A17" i="28"/>
  <c r="A4" i="28"/>
  <c r="A68" i="28"/>
  <c r="H39" i="14"/>
  <c r="G39" i="14"/>
  <c r="F39" i="14"/>
  <c r="E39" i="14"/>
  <c r="D39" i="14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I9" i="6"/>
  <c r="I10" i="6" s="1"/>
  <c r="H9" i="6"/>
  <c r="H10" i="6" s="1"/>
  <c r="G9" i="6"/>
  <c r="F9" i="6"/>
  <c r="F10" i="6" s="1"/>
  <c r="E9" i="6"/>
  <c r="E10" i="27"/>
  <c r="E9" i="27"/>
  <c r="E8" i="27"/>
  <c r="E7" i="27"/>
  <c r="E6" i="27"/>
  <c r="E5" i="27"/>
  <c r="E4" i="27"/>
  <c r="L6" i="22"/>
  <c r="L18" i="14"/>
  <c r="L42" i="25"/>
  <c r="L43" i="25"/>
  <c r="L27" i="25"/>
  <c r="L29" i="25"/>
  <c r="L53" i="25"/>
  <c r="L54" i="25"/>
  <c r="L55" i="25"/>
  <c r="L45" i="25"/>
  <c r="L46" i="25"/>
  <c r="F6" i="22"/>
  <c r="H6" i="22"/>
  <c r="I6" i="22"/>
  <c r="J6" i="22"/>
  <c r="K6" i="22"/>
  <c r="M6" i="22"/>
  <c r="D6" i="22"/>
  <c r="D7" i="5"/>
  <c r="E9" i="5" s="1"/>
  <c r="F25" i="5"/>
  <c r="C20" i="5"/>
  <c r="A3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8" i="28"/>
  <c r="A19" i="28"/>
  <c r="A20" i="28"/>
  <c r="A21" i="28"/>
  <c r="A22" i="28"/>
  <c r="A23" i="28"/>
  <c r="A24" i="28"/>
  <c r="A25" i="28"/>
  <c r="A26" i="28"/>
  <c r="A27" i="28"/>
  <c r="A28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2" i="28"/>
  <c r="B32" i="25"/>
  <c r="B33" i="25"/>
  <c r="B34" i="25"/>
  <c r="B35" i="25"/>
  <c r="B36" i="25"/>
  <c r="B37" i="25"/>
  <c r="B38" i="25"/>
  <c r="B27" i="25"/>
  <c r="B28" i="25"/>
  <c r="B29" i="25"/>
  <c r="B30" i="25"/>
  <c r="B31" i="25"/>
  <c r="B50" i="25"/>
  <c r="B51" i="25"/>
  <c r="B52" i="25"/>
  <c r="B53" i="25"/>
  <c r="B54" i="25"/>
  <c r="B55" i="25"/>
  <c r="B20" i="25"/>
  <c r="B21" i="25"/>
  <c r="B22" i="25"/>
  <c r="B23" i="25"/>
  <c r="B24" i="25"/>
  <c r="B25" i="25"/>
  <c r="B26" i="25"/>
  <c r="B44" i="25"/>
  <c r="B45" i="25"/>
  <c r="B46" i="25"/>
  <c r="B47" i="25"/>
  <c r="B48" i="25"/>
  <c r="B49" i="25"/>
  <c r="H85" i="14"/>
  <c r="G85" i="14"/>
  <c r="F85" i="14"/>
  <c r="E85" i="14"/>
  <c r="D85" i="14"/>
  <c r="B40" i="25"/>
  <c r="B41" i="25"/>
  <c r="B42" i="25"/>
  <c r="B43" i="25"/>
  <c r="B39" i="25"/>
  <c r="E3" i="27"/>
  <c r="L63" i="14"/>
  <c r="L62" i="14"/>
  <c r="L61" i="14"/>
  <c r="L60" i="14"/>
  <c r="H60" i="14"/>
  <c r="G60" i="14"/>
  <c r="F60" i="14"/>
  <c r="E60" i="14"/>
  <c r="D60" i="14"/>
  <c r="L59" i="14"/>
  <c r="L58" i="14"/>
  <c r="D17" i="14"/>
  <c r="L19" i="14"/>
  <c r="L20" i="14"/>
  <c r="L21" i="14"/>
  <c r="H17" i="14"/>
  <c r="G17" i="14"/>
  <c r="F17" i="14"/>
  <c r="E17" i="14"/>
  <c r="N54" i="22"/>
  <c r="N12" i="22"/>
  <c r="N10" i="22"/>
  <c r="N92" i="6"/>
  <c r="N8" i="22"/>
  <c r="E4" i="8"/>
  <c r="C4" i="13" s="1"/>
  <c r="C8" i="13"/>
  <c r="C9" i="13"/>
  <c r="C10" i="13"/>
  <c r="C11" i="13"/>
  <c r="C12" i="13"/>
  <c r="C13" i="13"/>
  <c r="C14" i="13"/>
  <c r="C15" i="13"/>
  <c r="C16" i="13"/>
  <c r="C17" i="13"/>
  <c r="B18" i="13"/>
  <c r="C18" i="13"/>
  <c r="E19" i="13"/>
  <c r="N9" i="22"/>
  <c r="N11" i="22"/>
  <c r="N13" i="22"/>
  <c r="G7" i="5"/>
  <c r="H11" i="5" s="1"/>
  <c r="J7" i="5"/>
  <c r="K16" i="5" s="1"/>
  <c r="M7" i="5"/>
  <c r="N14" i="5" s="1"/>
  <c r="P7" i="5"/>
  <c r="Q13" i="5" s="1"/>
  <c r="F20" i="5"/>
  <c r="I20" i="5"/>
  <c r="L20" i="5"/>
  <c r="O20" i="5"/>
  <c r="J7" i="6"/>
  <c r="J8" i="6"/>
  <c r="G10" i="6"/>
  <c r="N7" i="22"/>
  <c r="N30" i="22"/>
  <c r="N23" i="22"/>
  <c r="N46" i="22"/>
  <c r="N39" i="22"/>
  <c r="N14" i="22"/>
  <c r="N22" i="22"/>
  <c r="N38" i="22"/>
  <c r="N118" i="22"/>
  <c r="N111" i="22"/>
  <c r="N47" i="22"/>
  <c r="N31" i="22"/>
  <c r="K15" i="5"/>
  <c r="K8" i="5"/>
  <c r="H9" i="5"/>
  <c r="H17" i="5"/>
  <c r="K12" i="5"/>
  <c r="K18" i="5"/>
  <c r="K17" i="5" l="1"/>
  <c r="Q11" i="5"/>
  <c r="K14" i="5"/>
  <c r="K13" i="5"/>
  <c r="K10" i="5"/>
  <c r="Q15" i="5"/>
  <c r="N15" i="5"/>
  <c r="N17" i="5"/>
  <c r="N13" i="5"/>
  <c r="N19" i="5"/>
  <c r="N10" i="5"/>
  <c r="N9" i="5"/>
  <c r="N12" i="5"/>
  <c r="N18" i="5"/>
  <c r="H16" i="5"/>
  <c r="H19" i="5"/>
  <c r="H12" i="5"/>
  <c r="H13" i="5"/>
  <c r="H8" i="5"/>
  <c r="H10" i="5"/>
  <c r="H15" i="5"/>
  <c r="J9" i="6"/>
  <c r="N8" i="5"/>
  <c r="N110" i="6"/>
  <c r="Q7" i="5"/>
  <c r="H4" i="6"/>
  <c r="D23" i="5"/>
  <c r="Q19" i="5"/>
  <c r="P111" i="22"/>
  <c r="P118" i="22" s="1"/>
  <c r="Q111" i="22" s="1"/>
  <c r="E11" i="5"/>
  <c r="Q9" i="5"/>
  <c r="K11" i="5"/>
  <c r="N11" i="5"/>
  <c r="Q10" i="5"/>
  <c r="Q18" i="5"/>
  <c r="K9" i="5"/>
  <c r="K19" i="5"/>
  <c r="E18" i="5"/>
  <c r="Q12" i="5"/>
  <c r="K7" i="5"/>
  <c r="N16" i="5"/>
  <c r="N7" i="5"/>
  <c r="E17" i="5"/>
  <c r="Q17" i="5"/>
  <c r="P15" i="22"/>
  <c r="P22" i="22" s="1"/>
  <c r="Q15" i="22" s="1"/>
  <c r="P31" i="22"/>
  <c r="P38" i="22" s="1"/>
  <c r="Q31" i="22" s="1"/>
  <c r="P39" i="22"/>
  <c r="P46" i="22" s="1"/>
  <c r="Q39" i="22" s="1"/>
  <c r="P95" i="22"/>
  <c r="P102" i="22" s="1"/>
  <c r="Q95" i="22" s="1"/>
  <c r="P47" i="22"/>
  <c r="P54" i="22" s="1"/>
  <c r="Q47" i="22" s="1"/>
  <c r="P63" i="22"/>
  <c r="P70" i="22" s="1"/>
  <c r="Q63" i="22" s="1"/>
  <c r="P23" i="22"/>
  <c r="P30" i="22" s="1"/>
  <c r="Q23" i="22" s="1"/>
  <c r="P79" i="22"/>
  <c r="P86" i="22" s="1"/>
  <c r="Q79" i="22" s="1"/>
  <c r="P71" i="22"/>
  <c r="P78" i="22" s="1"/>
  <c r="Q71" i="22" s="1"/>
  <c r="P7" i="22"/>
  <c r="P14" i="22" s="1"/>
  <c r="Q7" i="22" s="1"/>
  <c r="P55" i="22"/>
  <c r="P62" i="22" s="1"/>
  <c r="Q55" i="22" s="1"/>
  <c r="P87" i="22"/>
  <c r="P94" i="22" s="1"/>
  <c r="Q87" i="22" s="1"/>
  <c r="P103" i="22"/>
  <c r="P110" i="22" s="1"/>
  <c r="E10" i="6"/>
  <c r="J10" i="6" s="1"/>
  <c r="G4" i="5"/>
  <c r="D24" i="5"/>
  <c r="C1" i="14"/>
  <c r="C1" i="22"/>
  <c r="H11" i="8"/>
  <c r="B63" i="6"/>
  <c r="B94" i="6"/>
  <c r="B4" i="5"/>
  <c r="C5" i="13"/>
  <c r="B28" i="6"/>
  <c r="B1" i="22"/>
  <c r="H18" i="5"/>
  <c r="Q14" i="5"/>
  <c r="Q8" i="5"/>
  <c r="E19" i="5"/>
  <c r="S7" i="5"/>
  <c r="E8" i="5"/>
  <c r="E13" i="5"/>
  <c r="E16" i="5"/>
  <c r="H14" i="5"/>
  <c r="E14" i="5"/>
  <c r="E15" i="5"/>
  <c r="B4" i="6"/>
  <c r="N6" i="22"/>
  <c r="E12" i="5"/>
  <c r="B1" i="14"/>
  <c r="E10" i="5"/>
  <c r="E7" i="5"/>
  <c r="H7" i="5"/>
  <c r="Q16" i="5"/>
  <c r="P6" i="22"/>
  <c r="R9" i="5" l="1"/>
  <c r="T17" i="5"/>
  <c r="H29" i="8" s="1"/>
  <c r="R11" i="5"/>
  <c r="R17" i="5"/>
  <c r="N20" i="5"/>
  <c r="K20" i="5"/>
  <c r="R18" i="5"/>
  <c r="Q20" i="5"/>
  <c r="T9" i="5"/>
  <c r="H21" i="8" s="1"/>
  <c r="T11" i="5"/>
  <c r="H23" i="8" s="1"/>
  <c r="H15" i="8"/>
  <c r="H9" i="8" s="1"/>
  <c r="Q103" i="22"/>
  <c r="R15" i="5"/>
  <c r="T15" i="5"/>
  <c r="H27" i="8" s="1"/>
  <c r="T18" i="5"/>
  <c r="H30" i="8" s="1"/>
  <c r="R7" i="5"/>
  <c r="T7" i="5"/>
  <c r="E20" i="5"/>
  <c r="R10" i="5"/>
  <c r="T10" i="5"/>
  <c r="H22" i="8" s="1"/>
  <c r="L5" i="14"/>
  <c r="L33" i="14"/>
  <c r="L39" i="14"/>
  <c r="L36" i="14"/>
  <c r="L17" i="14"/>
  <c r="L34" i="14"/>
  <c r="L11" i="14"/>
  <c r="L15" i="14"/>
  <c r="L12" i="14"/>
  <c r="L27" i="14"/>
  <c r="L38" i="14"/>
  <c r="L35" i="14"/>
  <c r="L14" i="14"/>
  <c r="L37" i="14"/>
  <c r="L13" i="14"/>
  <c r="L9" i="14"/>
  <c r="L10" i="14"/>
  <c r="L8" i="14"/>
  <c r="L16" i="14"/>
  <c r="L30" i="14"/>
  <c r="L32" i="14"/>
  <c r="L31" i="14"/>
  <c r="K26" i="6"/>
  <c r="C16" i="6"/>
  <c r="C49" i="6"/>
  <c r="D49" i="6" s="1"/>
  <c r="C32" i="6"/>
  <c r="D32" i="6" s="1"/>
  <c r="C80" i="6"/>
  <c r="D80" i="6" s="1"/>
  <c r="C36" i="6"/>
  <c r="D36" i="6" s="1"/>
  <c r="C40" i="6"/>
  <c r="D40" i="6" s="1"/>
  <c r="C77" i="6"/>
  <c r="D77" i="6" s="1"/>
  <c r="C46" i="6"/>
  <c r="D46" i="6" s="1"/>
  <c r="C60" i="6"/>
  <c r="D60" i="6" s="1"/>
  <c r="C24" i="6"/>
  <c r="D24" i="6" s="1"/>
  <c r="C22" i="6"/>
  <c r="C41" i="6"/>
  <c r="D41" i="6" s="1"/>
  <c r="C81" i="6"/>
  <c r="D81" i="6" s="1"/>
  <c r="C59" i="6"/>
  <c r="D59" i="6" s="1"/>
  <c r="C88" i="6"/>
  <c r="D88" i="6" s="1"/>
  <c r="K25" i="6"/>
  <c r="C72" i="6"/>
  <c r="D72" i="6" s="1"/>
  <c r="C52" i="6"/>
  <c r="D52" i="6" s="1"/>
  <c r="C34" i="6"/>
  <c r="D34" i="6" s="1"/>
  <c r="C56" i="6"/>
  <c r="D56" i="6" s="1"/>
  <c r="C39" i="6"/>
  <c r="D39" i="6" s="1"/>
  <c r="B12" i="6"/>
  <c r="C17" i="6"/>
  <c r="C61" i="6"/>
  <c r="D61" i="6" s="1"/>
  <c r="C74" i="6"/>
  <c r="D74" i="6" s="1"/>
  <c r="C68" i="6"/>
  <c r="D68" i="6" s="1"/>
  <c r="C25" i="6"/>
  <c r="D25" i="6" s="1"/>
  <c r="C84" i="6"/>
  <c r="D84" i="6" s="1"/>
  <c r="C50" i="6"/>
  <c r="D50" i="6" s="1"/>
  <c r="C30" i="6"/>
  <c r="D30" i="6" s="1"/>
  <c r="C65" i="6"/>
  <c r="D65" i="6" s="1"/>
  <c r="C76" i="6"/>
  <c r="D76" i="6" s="1"/>
  <c r="C54" i="6"/>
  <c r="D54" i="6" s="1"/>
  <c r="C57" i="6"/>
  <c r="D57" i="6" s="1"/>
  <c r="C20" i="6"/>
  <c r="K24" i="6"/>
  <c r="C18" i="6"/>
  <c r="C38" i="6"/>
  <c r="D38" i="6" s="1"/>
  <c r="C48" i="6"/>
  <c r="D48" i="6" s="1"/>
  <c r="C87" i="6"/>
  <c r="D87" i="6" s="1"/>
  <c r="C69" i="6"/>
  <c r="D69" i="6" s="1"/>
  <c r="C47" i="6"/>
  <c r="D47" i="6" s="1"/>
  <c r="C31" i="6"/>
  <c r="D31" i="6" s="1"/>
  <c r="C51" i="6"/>
  <c r="D51" i="6" s="1"/>
  <c r="K14" i="6"/>
  <c r="C70" i="6"/>
  <c r="D70" i="6" s="1"/>
  <c r="C79" i="6"/>
  <c r="D79" i="6" s="1"/>
  <c r="C86" i="6"/>
  <c r="D86" i="6" s="1"/>
  <c r="C85" i="6"/>
  <c r="D85" i="6" s="1"/>
  <c r="C26" i="6"/>
  <c r="D26" i="6" s="1"/>
  <c r="C58" i="6"/>
  <c r="D58" i="6" s="1"/>
  <c r="C91" i="6"/>
  <c r="D91" i="6" s="1"/>
  <c r="C71" i="6"/>
  <c r="D71" i="6" s="1"/>
  <c r="C67" i="6"/>
  <c r="D67" i="6" s="1"/>
  <c r="C75" i="6"/>
  <c r="D75" i="6" s="1"/>
  <c r="C66" i="6"/>
  <c r="D66" i="6" s="1"/>
  <c r="C37" i="6"/>
  <c r="D37" i="6" s="1"/>
  <c r="C55" i="6"/>
  <c r="D55" i="6" s="1"/>
  <c r="C14" i="6"/>
  <c r="D14" i="6" s="1"/>
  <c r="C15" i="6"/>
  <c r="C33" i="6"/>
  <c r="D33" i="6" s="1"/>
  <c r="C78" i="6"/>
  <c r="D78" i="6" s="1"/>
  <c r="C53" i="6"/>
  <c r="D53" i="6" s="1"/>
  <c r="C82" i="6"/>
  <c r="D82" i="6" s="1"/>
  <c r="C23" i="6"/>
  <c r="C21" i="6"/>
  <c r="C83" i="6"/>
  <c r="D83" i="6" s="1"/>
  <c r="C44" i="6"/>
  <c r="D44" i="6" s="1"/>
  <c r="C43" i="6"/>
  <c r="D43" i="6" s="1"/>
  <c r="C42" i="6"/>
  <c r="D42" i="6" s="1"/>
  <c r="C90" i="6"/>
  <c r="D90" i="6" s="1"/>
  <c r="C45" i="6"/>
  <c r="D45" i="6" s="1"/>
  <c r="C89" i="6"/>
  <c r="D89" i="6" s="1"/>
  <c r="C73" i="6"/>
  <c r="D73" i="6" s="1"/>
  <c r="C35" i="6"/>
  <c r="D35" i="6" s="1"/>
  <c r="C19" i="6"/>
  <c r="B10" i="5"/>
  <c r="B22" i="8" s="1"/>
  <c r="B15" i="5"/>
  <c r="B27" i="8" s="1"/>
  <c r="B11" i="5"/>
  <c r="B23" i="8" s="1"/>
  <c r="B18" i="5"/>
  <c r="B30" i="8" s="1"/>
  <c r="B8" i="5"/>
  <c r="B20" i="8" s="1"/>
  <c r="B9" i="5"/>
  <c r="B21" i="8" s="1"/>
  <c r="B13" i="5"/>
  <c r="B25" i="8" s="1"/>
  <c r="B12" i="5"/>
  <c r="B24" i="8" s="1"/>
  <c r="B17" i="5"/>
  <c r="B29" i="8" s="1"/>
  <c r="B7" i="5"/>
  <c r="B19" i="8" s="1"/>
  <c r="B19" i="5"/>
  <c r="B31" i="8" s="1"/>
  <c r="B14" i="5"/>
  <c r="B26" i="8" s="1"/>
  <c r="B16" i="5"/>
  <c r="B28" i="8" s="1"/>
  <c r="T14" i="5"/>
  <c r="H26" i="8" s="1"/>
  <c r="R14" i="5"/>
  <c r="T16" i="5"/>
  <c r="H28" i="8" s="1"/>
  <c r="R16" i="5"/>
  <c r="R12" i="5"/>
  <c r="T12" i="5"/>
  <c r="H24" i="8" s="1"/>
  <c r="R13" i="5"/>
  <c r="T13" i="5"/>
  <c r="H25" i="8" s="1"/>
  <c r="T8" i="5"/>
  <c r="H20" i="8" s="1"/>
  <c r="R8" i="5"/>
  <c r="H20" i="5"/>
  <c r="T19" i="5"/>
  <c r="H31" i="8" s="1"/>
  <c r="R19" i="5"/>
  <c r="T20" i="5" l="1"/>
  <c r="H19" i="8"/>
  <c r="H32" i="8" s="1"/>
  <c r="R2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AGP_01</author>
    <author>LORENZO</author>
    <author>PC-26</author>
  </authors>
  <commentList>
    <comment ref="M7" authorId="0" shapeId="0" xr:uid="{9F938688-D7C1-4026-9737-0767D44AFF36}">
      <text>
        <r>
          <rPr>
            <b/>
            <sz val="9"/>
            <color indexed="81"/>
            <rFont val="Tahoma"/>
            <family val="2"/>
          </rPr>
          <t>AGP_01:</t>
        </r>
        <r>
          <rPr>
            <sz val="9"/>
            <color indexed="81"/>
            <rFont val="Tahoma"/>
            <family val="2"/>
          </rPr>
          <t xml:space="preserve">
COLOQUE SU JORNADA DE HORAS</t>
        </r>
      </text>
    </comment>
    <comment ref="G13" authorId="1" shapeId="0" xr:uid="{39AF9A44-35FD-450F-9646-B2879469B872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Ley 29944</t>
        </r>
      </text>
    </comment>
    <comment ref="H13" authorId="2" shapeId="0" xr:uid="{948AE6CD-E241-4116-BE33-0447BCB14ED8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Areá de Gestión Institucional
Areá de Gestión Pedagógica</t>
        </r>
      </text>
    </comment>
    <comment ref="L13" authorId="2" shapeId="0" xr:uid="{AF5F0E33-D3BD-4BF7-BDA2-78093CAE3CF6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40 Horas Cronológicas
32 Horas Pedagógicas
30 Horas Pedagógicas</t>
        </r>
      </text>
    </comment>
    <comment ref="G29" authorId="1" shapeId="0" xr:uid="{605CB08C-4C62-4A2F-AC4D-B7C617310D76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Ley 29944</t>
        </r>
      </text>
    </comment>
    <comment ref="H29" authorId="2" shapeId="0" xr:uid="{91255481-62D4-4335-930B-E2477F25FAC3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Areá de Gestión Pedagógica</t>
        </r>
      </text>
    </comment>
    <comment ref="L29" authorId="2" shapeId="0" xr:uid="{0392F163-5A9C-4D79-B974-C178FE08668F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40 Horas Cronológicas
24 Horas Pedagógicas</t>
        </r>
      </text>
    </comment>
    <comment ref="G64" authorId="1" shapeId="0" xr:uid="{AC0E3B79-CA9C-4C41-B6D5-2CFADE746620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Ley 29944</t>
        </r>
      </text>
    </comment>
    <comment ref="H64" authorId="2" shapeId="0" xr:uid="{ABD7F677-90EE-4043-8E13-9B0B5DCFFFE4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Areá de Gestión Pedagógica</t>
        </r>
      </text>
    </comment>
    <comment ref="L64" authorId="2" shapeId="0" xr:uid="{478C21CD-5ABB-4AAC-B517-F89D21264550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40 Horas Cronológicas
24 Horas Pedagógicas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LORENZO</author>
  </authors>
  <commentList>
    <comment ref="C22" authorId="0" shapeId="0" xr:uid="{200F9E32-63E0-4CEB-B6A0-0E56E011A698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Horas de Libre Disponibilidad 1</t>
        </r>
      </text>
    </comment>
    <comment ref="D22" authorId="0" shapeId="0" xr:uid="{46C8C282-8173-4BDF-8E46-895B1AC2CFB7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Area Curricular</t>
        </r>
      </text>
    </comment>
    <comment ref="C23" authorId="0" shapeId="0" xr:uid="{08C91B5E-1269-4E01-986D-D0C403819225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Horas de Libre Disponibilidad 2</t>
        </r>
      </text>
    </comment>
    <comment ref="D23" authorId="0" shapeId="0" xr:uid="{C09D1F7B-B445-40F5-88F2-CFECDAB271A6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Area Curricular</t>
        </r>
      </text>
    </comment>
    <comment ref="C24" authorId="0" shapeId="0" xr:uid="{87141DEE-304D-4B63-9970-0394743B34A0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Horas de Libre Disponibilidad 2</t>
        </r>
      </text>
    </comment>
    <comment ref="D24" authorId="0" shapeId="0" xr:uid="{9690E04B-8BA3-40BA-B28D-82EFAF642EFE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Area Curricular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PC-26</author>
  </authors>
  <commentList>
    <comment ref="O4" authorId="0" shapeId="0" xr:uid="{DB951963-EF96-4473-B2F5-AAE2C3AC66B7}">
      <text>
        <r>
          <rPr>
            <b/>
            <sz val="9"/>
            <color indexed="81"/>
            <rFont val="Tahoma"/>
            <family val="2"/>
          </rPr>
          <t>CH2023:</t>
        </r>
        <r>
          <rPr>
            <sz val="9"/>
            <color indexed="81"/>
            <rFont val="Tahoma"/>
            <family val="2"/>
          </rPr>
          <t xml:space="preserve">
Ingresar Todas las areas a dictar (INCLUIDA HORAS ADICIONALES)</t>
        </r>
      </text>
    </comment>
    <comment ref="P7" authorId="0" shapeId="0" xr:uid="{2A2B6087-168F-4BB8-905F-42D7D54FAF49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12" authorId="0" shapeId="0" xr:uid="{93F32FD7-DD0B-4C05-9717-67C597821048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3" authorId="0" shapeId="0" xr:uid="{F486055D-0F47-4133-99AD-69E71D284830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5" authorId="0" shapeId="0" xr:uid="{97A85E86-6140-4172-9DE0-CF19C3628EF0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20" authorId="0" shapeId="0" xr:uid="{F197A874-F685-4830-8929-122D4AC1AC1E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21" authorId="0" shapeId="0" xr:uid="{5557CBFC-11E8-440F-8E6C-8DB16D97D764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23" authorId="0" shapeId="0" xr:uid="{A9F348C2-A19C-4C44-9710-C8B1696DD19C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28" authorId="0" shapeId="0" xr:uid="{7DC091BF-85E1-4B2E-AA9B-F40F432C9B3C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29" authorId="0" shapeId="0" xr:uid="{FA09C4A1-D68E-4A6B-8C3C-BBDEA0178FFE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31" authorId="0" shapeId="0" xr:uid="{90442FAA-AC0A-41FC-AF45-0E3FFE921DAE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36" authorId="0" shapeId="0" xr:uid="{0D908B9A-9EF9-4C71-91F3-3210E0B9C2C1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37" authorId="0" shapeId="0" xr:uid="{F2E72B72-8564-48A7-8450-337C1FB1A0D9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39" authorId="0" shapeId="0" xr:uid="{1C54409D-2F6D-4ED4-B193-26189AFA028B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44" authorId="0" shapeId="0" xr:uid="{CD674FF8-53BB-49CD-AB2A-FABB43A6CC4A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45" authorId="0" shapeId="0" xr:uid="{3E99E095-BCF8-4630-83B1-F8EECDB50211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47" authorId="0" shapeId="0" xr:uid="{181D39E1-C8A0-4C1E-829A-3483BAC29D33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52" authorId="0" shapeId="0" xr:uid="{DA841EE7-1C00-4E5C-89CD-C1A9A9263028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53" authorId="0" shapeId="0" xr:uid="{4CDC4583-12F5-4162-A916-10EB569A0846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55" authorId="0" shapeId="0" xr:uid="{912A311B-BA5A-41CA-A31A-DDBD59270EBC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60" authorId="0" shapeId="0" xr:uid="{3D036024-3FFB-4EEA-8728-72118FBA6DD4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61" authorId="0" shapeId="0" xr:uid="{F589723E-C142-44D9-AA46-FD097467B20A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63" authorId="0" shapeId="0" xr:uid="{3AC67AF9-CEEB-42BC-8925-D0B93ACBA2D4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68" authorId="0" shapeId="0" xr:uid="{F9EE6320-4A88-4BE4-9C29-F791B220567E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69" authorId="0" shapeId="0" xr:uid="{ACB468B8-092D-48E6-8AB8-ACF9B9472FB8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71" authorId="0" shapeId="0" xr:uid="{5CA8514A-E32A-4207-8D3D-B37E0D4068BC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76" authorId="0" shapeId="0" xr:uid="{E65BFA1E-5D21-4FBA-A9B2-AC959C594D4A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77" authorId="0" shapeId="0" xr:uid="{863D4BB1-5BBD-490E-A44B-019300B15FDB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79" authorId="0" shapeId="0" xr:uid="{B4AFD3D7-0851-4A3B-80A0-422B2652CFDE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84" authorId="0" shapeId="0" xr:uid="{916213BB-9945-4561-8DE7-961FFE24FC1B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85" authorId="0" shapeId="0" xr:uid="{0B46D023-2ED5-41C8-96C7-5E8A289A7B62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87" authorId="0" shapeId="0" xr:uid="{D9F4D994-CDDC-439F-BF42-392D05343FC6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92" authorId="0" shapeId="0" xr:uid="{2AB9DDD5-0528-4962-A8D4-218468B4C23F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93" authorId="0" shapeId="0" xr:uid="{06EA50CD-737E-456C-A26C-944D78D06616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95" authorId="0" shapeId="0" xr:uid="{6C63BF82-F23F-4261-A3A0-9C145C1C544B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100" authorId="0" shapeId="0" xr:uid="{1B968AD1-C8E9-4006-8BAE-158E598133C0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01" authorId="0" shapeId="0" xr:uid="{8D87C53E-7ACB-4F66-94CF-5EA8D184672F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03" authorId="0" shapeId="0" xr:uid="{334F17B4-F255-40C7-86C0-957BF5013BBA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108" authorId="0" shapeId="0" xr:uid="{3B2B0F94-C388-4E52-BD94-6E9B3BB1AA25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09" authorId="0" shapeId="0" xr:uid="{8E5D4313-AD8A-4E8F-A764-F5B5640E300F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11" authorId="0" shapeId="0" xr:uid="{C19CC822-968F-4E11-A34E-13F3619F37AC}">
      <text>
        <r>
          <rPr>
            <b/>
            <sz val="9"/>
            <color indexed="81"/>
            <rFont val="Tahoma"/>
            <family val="2"/>
          </rPr>
          <t>PC-26:</t>
        </r>
        <r>
          <rPr>
            <sz val="9"/>
            <color indexed="81"/>
            <rFont val="Tahoma"/>
            <family val="2"/>
          </rPr>
          <t xml:space="preserve">
Jornada Pedagògica</t>
        </r>
      </text>
    </comment>
    <comment ref="P116" authorId="0" shapeId="0" xr:uid="{FE6F012A-327F-4B3A-BD4D-DEBE774E0D13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  <comment ref="P117" authorId="0" shapeId="0" xr:uid="{51EFD635-D290-479A-A5A9-9960B6D85107}">
      <text>
        <r>
          <rPr>
            <b/>
            <sz val="8"/>
            <color indexed="81"/>
            <rFont val="Tahoma"/>
            <family val="2"/>
          </rPr>
          <t>CH2023:</t>
        </r>
        <r>
          <rPr>
            <sz val="8"/>
            <color indexed="81"/>
            <rFont val="Tahoma"/>
            <family val="2"/>
          </rPr>
          <t xml:space="preserve">
Horas Adicionales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LORENZO</author>
  </authors>
  <commentList>
    <comment ref="C7" authorId="0" shapeId="0" xr:uid="{6C47C4A5-D72B-4B54-ADDF-B6F2C54C3B7F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Ley 29944</t>
        </r>
      </text>
    </comment>
    <comment ref="D7" authorId="0" shapeId="0" xr:uid="{25515502-01AD-4EEF-8EE3-6FC9F1DBB900}">
      <text>
        <r>
          <rPr>
            <b/>
            <sz val="9"/>
            <color indexed="81"/>
            <rFont val="Tahoma"/>
            <family val="2"/>
          </rPr>
          <t xml:space="preserve">CH2015:
</t>
        </r>
        <r>
          <rPr>
            <sz val="9"/>
            <color indexed="81"/>
            <rFont val="Tahoma"/>
            <family val="2"/>
          </rPr>
          <t>Área de Gestión Pedagógica</t>
        </r>
      </text>
    </comment>
    <comment ref="F7" authorId="0" shapeId="0" xr:uid="{2F7CA268-EB6D-4825-AE22-309615D7A912}">
      <text>
        <r>
          <rPr>
            <b/>
            <sz val="9"/>
            <color indexed="81"/>
            <rFont val="Tahoma"/>
            <family val="2"/>
          </rPr>
          <t>CH2015:</t>
        </r>
        <r>
          <rPr>
            <sz val="9"/>
            <color indexed="81"/>
            <rFont val="Tahoma"/>
            <family val="2"/>
          </rPr>
          <t xml:space="preserve">
40 Horas Cronológicas
24 Horas Pedagógicas
</t>
        </r>
      </text>
    </comment>
  </commentList>
</comments>
</file>

<file path=xl/sharedStrings.xml><?xml version="1.0" encoding="utf-8"?>
<sst xmlns="http://schemas.openxmlformats.org/spreadsheetml/2006/main" count="2400" uniqueCount="520">
  <si>
    <t>1º</t>
  </si>
  <si>
    <t>2º</t>
  </si>
  <si>
    <t>3º</t>
  </si>
  <si>
    <t>4º</t>
  </si>
  <si>
    <t>5º</t>
  </si>
  <si>
    <t>Total</t>
  </si>
  <si>
    <t>Horas Asig.</t>
  </si>
  <si>
    <t>Nº   Secc.</t>
  </si>
  <si>
    <t>Total Horas</t>
  </si>
  <si>
    <t>Totales Parciales</t>
  </si>
  <si>
    <t>Comunicación</t>
  </si>
  <si>
    <t>Matemática</t>
  </si>
  <si>
    <t>Resumen del Cuadro de Distribución de Horas de Clase</t>
  </si>
  <si>
    <t>Total de Horas de Clase</t>
  </si>
  <si>
    <t>* Horas de Clase de Personal Directivo…………………………………………………………..</t>
  </si>
  <si>
    <t>* Horas de Clase de Personal Jerárquico…………………………………………………………</t>
  </si>
  <si>
    <t>* Horas de Clase de Personal Docente……………………………………………………………</t>
  </si>
  <si>
    <t>TOTAL</t>
  </si>
  <si>
    <t>ANEXO 01</t>
  </si>
  <si>
    <t>Total Hora</t>
  </si>
  <si>
    <t>Área Curricular (*)</t>
  </si>
  <si>
    <t>Área</t>
  </si>
  <si>
    <t>Cargo</t>
  </si>
  <si>
    <t>Código Plaza</t>
  </si>
  <si>
    <t>Jornada Laboral</t>
  </si>
  <si>
    <t>Nº</t>
  </si>
  <si>
    <t>Código Eventual</t>
  </si>
  <si>
    <t>Régimen de Contrato</t>
  </si>
  <si>
    <t>ANEXO 05</t>
  </si>
  <si>
    <t xml:space="preserve"> Número de Alumnos</t>
  </si>
  <si>
    <t xml:space="preserve"> Número de Secciones</t>
  </si>
  <si>
    <t xml:space="preserve"> Número de Horas de Clase</t>
  </si>
  <si>
    <t>Educación Física</t>
  </si>
  <si>
    <t>Educación Religiosa</t>
  </si>
  <si>
    <t xml:space="preserve"> </t>
  </si>
  <si>
    <t>IDENTIFICACIÓN</t>
  </si>
  <si>
    <t>2°</t>
  </si>
  <si>
    <t>3°</t>
  </si>
  <si>
    <t>4°</t>
  </si>
  <si>
    <t>5°</t>
  </si>
  <si>
    <t>1°</t>
  </si>
  <si>
    <t>Inglés</t>
  </si>
  <si>
    <t>Arte</t>
  </si>
  <si>
    <t>Ciencia, Tecnología y Ambiente</t>
  </si>
  <si>
    <t>Formación Ciudadana y Cívica</t>
  </si>
  <si>
    <t>Nº Secc.</t>
  </si>
  <si>
    <t>Código Modular:</t>
  </si>
  <si>
    <t>Horas</t>
  </si>
  <si>
    <t>HORAS</t>
  </si>
  <si>
    <t>ANEXO 04</t>
  </si>
  <si>
    <t>Ley de Carrera a que
pertenece</t>
  </si>
  <si>
    <t>Código Nexus</t>
  </si>
  <si>
    <t>NIVEL</t>
  </si>
  <si>
    <t>GRADOS</t>
  </si>
  <si>
    <t>ÁREAS CURRICULARES</t>
  </si>
  <si>
    <t>Historia, Geografía y Economía</t>
  </si>
  <si>
    <t>Persona, Familia y Relaciones Humanas</t>
  </si>
  <si>
    <t>TOTAL DE HORAS SEGÚN PLAN DE ESTUDIOS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</si>
  <si>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</si>
  <si>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</si>
  <si>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</si>
  <si>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</si>
  <si>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</si>
  <si>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</si>
  <si>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</si>
  <si>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</si>
  <si>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</si>
  <si>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</si>
  <si>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</si>
  <si>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</si>
  <si>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 xml:space="preserve">Distribución de Horas Peagógicas por Grados - Según Plan de Estudios EBR Nivel Secundaria </t>
  </si>
  <si>
    <t>ANEXO 02 - A</t>
  </si>
  <si>
    <t>Resumen de Horas Pedagógicas por Área - EBR</t>
  </si>
  <si>
    <t>:</t>
  </si>
  <si>
    <t>MODALIDAD</t>
  </si>
  <si>
    <t>INSTITUCIÓN EDUCATIVA</t>
  </si>
  <si>
    <t>CODIGO MODULAR DE LA I.E.</t>
  </si>
  <si>
    <t>UGEL</t>
  </si>
  <si>
    <t>Plaza Excedentes Ocupadas y/o Vacantes por Reubicar</t>
  </si>
  <si>
    <t>HLD1</t>
  </si>
  <si>
    <t>HLD2</t>
  </si>
  <si>
    <t>TOTAL GENERAL</t>
  </si>
  <si>
    <t>Variables para Elaboración del Cuadro de Distribución de Horas Pedagógicas</t>
  </si>
  <si>
    <t>Numero de horas mínimas según plan de estudios</t>
  </si>
  <si>
    <t>Espec. Tìtulo:</t>
  </si>
  <si>
    <t>Cargo:</t>
  </si>
  <si>
    <t>Tiempo Servicio:</t>
  </si>
  <si>
    <t>Observaciòn:</t>
  </si>
  <si>
    <t>TOTAL HORAS</t>
  </si>
  <si>
    <t>Escala Magist.:</t>
  </si>
  <si>
    <t>Cód. de Plaza:</t>
  </si>
  <si>
    <t>ANEXO 03</t>
  </si>
  <si>
    <t>DISTRITO</t>
  </si>
  <si>
    <t>CODMOD I.E.</t>
  </si>
  <si>
    <t>NIVEL EDUCATIVO</t>
  </si>
  <si>
    <t>NOMBRE DE LA INSTITUCION EDUCATIVA</t>
  </si>
  <si>
    <t>SUB-TIPO DE TRABAJADOR</t>
  </si>
  <si>
    <t>CARGO</t>
  </si>
  <si>
    <t>SITUACION LABORAL</t>
  </si>
  <si>
    <t>CODIGO MODULAR</t>
  </si>
  <si>
    <t>DOCENTE</t>
  </si>
  <si>
    <t>PROFESOR</t>
  </si>
  <si>
    <t>NOMBRADO</t>
  </si>
  <si>
    <t>DIRECTIVO</t>
  </si>
  <si>
    <t>ENCARGADO</t>
  </si>
  <si>
    <t>DIRECTOR I.E.</t>
  </si>
  <si>
    <t>DESIGNADO</t>
  </si>
  <si>
    <t>Hrs.de Dictado (*)</t>
  </si>
  <si>
    <t xml:space="preserve">Nº Plazas : </t>
  </si>
  <si>
    <t>Tutoria</t>
  </si>
  <si>
    <t>El Area puede ser: Area de Gestón Institucional en caso sea Director o Sub Director, otros casos Area de Gestión Pedagógica.</t>
  </si>
  <si>
    <t>En el cuadro de disponibilidad Presupuestal se consignara la diferencia de horas (profesor por Horas P/Hpara alcanzar el Total de Horas de acuerdo al Total de Horas para la Instituciòn Educativa.</t>
  </si>
  <si>
    <t>ANEXO 02</t>
  </si>
  <si>
    <t>Colocar en Horas Asignadas el total de hora del Area correspondiente al grado (incluyendo horas de libre disponibilidad).</t>
  </si>
  <si>
    <t>En la parte inferior colocar las Areas según cantidad de horas asignadas para Libre Disponibilidad.</t>
  </si>
  <si>
    <t>Completar la Especialidad de Titulo y Tiempo de Servicio</t>
  </si>
  <si>
    <t>En la columna Horas ingresar el total de horas asignadas al Area Curricular según el grado de estudios, y en la columna de Secciones ingresar las Secciones para ese total de horas</t>
  </si>
  <si>
    <t>En la misma fila donde expresa Area, colocar el Area Curricular asignada</t>
  </si>
  <si>
    <t>En caso hubiese horas adicionales, consignarlas en la seccion de Horas Adicionales especificando el Area y la cantidad de horas.</t>
  </si>
  <si>
    <t>En el caso del Area de Educación para el Trabajo, se debera consignar primero en la Hoja Excel Plan de Estudios las ESPECIALIDADES (según proyecto - modulos) que se desarrollarán.</t>
  </si>
  <si>
    <t>Consignar al personal jerarquico/docente en situación en situación de excedente</t>
  </si>
  <si>
    <t>CUADRO DE HORAS</t>
  </si>
  <si>
    <t>ESPECIFICAR</t>
  </si>
  <si>
    <t>ESPECIALIDADES PARA EDUC. PARA EL TRABAJO</t>
  </si>
  <si>
    <t>Ingresar el Codigo Nexus de la plaza</t>
  </si>
  <si>
    <t>FERNANDO BELAUNDE TERRY</t>
  </si>
  <si>
    <t>ESTATAL DE TOLAPALCA</t>
  </si>
  <si>
    <t>MARISCAL RAMON CASTILLA</t>
  </si>
  <si>
    <t>TECNICO AGROPECUARIO CESAR VIZCARRA VARGAS</t>
  </si>
  <si>
    <t>ANTONIO RAYMONDI</t>
  </si>
  <si>
    <t>SAN IGNACIO DE LOYOLA</t>
  </si>
  <si>
    <t>CORONEL ALFONSO UGARTE</t>
  </si>
  <si>
    <t>TECNICO AGROPECUARIO CHARAMAYA</t>
  </si>
  <si>
    <t>CEBA - SAN FRANCISCO</t>
  </si>
  <si>
    <t>CEBA - CORAZON DE MARIA</t>
  </si>
  <si>
    <t>CEBA - LA LIBERTAD</t>
  </si>
  <si>
    <t>DATOS GENERALES</t>
  </si>
  <si>
    <t>NOMBRE DE LA INSTITUCIÓN EDUCATIVA</t>
  </si>
  <si>
    <t>PROVINCIA</t>
  </si>
  <si>
    <t>NOMBRE DEL DIRECTOR</t>
  </si>
  <si>
    <t>ICHUÑA</t>
  </si>
  <si>
    <t>ESPECIALIDAD</t>
  </si>
  <si>
    <t>AREAS CURRICULARES</t>
  </si>
  <si>
    <t>El nombre de la institucion educativa aparecera en forma automatica luego de ingresar el codigo Modular de la I.E. en el formato INICIO (Celda B6)</t>
  </si>
  <si>
    <t>Nº SECCIONES</t>
  </si>
  <si>
    <t xml:space="preserve"> Carga Docente</t>
  </si>
  <si>
    <t>A</t>
  </si>
  <si>
    <t>B</t>
  </si>
  <si>
    <t>Horas Pedag.</t>
  </si>
  <si>
    <t>INICIO</t>
  </si>
  <si>
    <t>Jornada Pedagógica</t>
  </si>
  <si>
    <t>Ingresar el Codigo de Plaza,  Apellidos y nombres, Cargo, Escala  y Código Modular</t>
  </si>
  <si>
    <t>EDUCACION PARA EL TRABAJO</t>
  </si>
  <si>
    <t>13</t>
  </si>
  <si>
    <t>A.I.P</t>
  </si>
  <si>
    <t>COMPUTACION</t>
  </si>
  <si>
    <t>MATEMATICA</t>
  </si>
  <si>
    <t>INGLES</t>
  </si>
  <si>
    <t>Horas de libre disponibilidad</t>
  </si>
  <si>
    <t>NOMBRE DEL ORGANO INTERMEDIO</t>
  </si>
  <si>
    <t>CODIGO DE PLAZA</t>
  </si>
  <si>
    <t>N°</t>
  </si>
  <si>
    <t>MOTIVO DE VACANTE</t>
  </si>
  <si>
    <t>NOMBRES COMPLETOS</t>
  </si>
  <si>
    <t>APELLIDO PATERNO</t>
  </si>
  <si>
    <t>APELLIDO MATERNO</t>
  </si>
  <si>
    <t>NOMBRES</t>
  </si>
  <si>
    <t>CATEGORIA REMUNERATIVA</t>
  </si>
  <si>
    <t>JORNADA LABORAL</t>
  </si>
  <si>
    <t>ESTADO</t>
  </si>
  <si>
    <t>FECHA DE INICIO</t>
  </si>
  <si>
    <t>FECHA DE TERMINO</t>
  </si>
  <si>
    <t>TIPO DE REGISTRO</t>
  </si>
  <si>
    <t>LEY</t>
  </si>
  <si>
    <t>GENERAL SANCHEZ CERRO</t>
  </si>
  <si>
    <t>JER</t>
  </si>
  <si>
    <t>Secundaria</t>
  </si>
  <si>
    <t>PLAZA PREVISTA PUESTA A CONCURSO DE CARGOS DIRECTIVOS</t>
  </si>
  <si>
    <t>ASENCIO</t>
  </si>
  <si>
    <t>RAMOS</t>
  </si>
  <si>
    <t>SANTOS</t>
  </si>
  <si>
    <t>40</t>
  </si>
  <si>
    <t>DESIGNACION DIRECTOR I.E</t>
  </si>
  <si>
    <t>1004403862</t>
  </si>
  <si>
    <t>LEY 29944</t>
  </si>
  <si>
    <t>1171114020N3</t>
  </si>
  <si>
    <t>30</t>
  </si>
  <si>
    <t>ACTIVO</t>
  </si>
  <si>
    <t>ORGANICA</t>
  </si>
  <si>
    <t>1151114010N3</t>
  </si>
  <si>
    <t>CONTRATADO</t>
  </si>
  <si>
    <t>REASIGNACION POR INTERES PERSONAL DE: ARPASI LLANQUE, SERGIO, Resolución Nº 4867-UGELP</t>
  </si>
  <si>
    <t>1040074688</t>
  </si>
  <si>
    <t>LEY 30328</t>
  </si>
  <si>
    <t>421881215910</t>
  </si>
  <si>
    <t>REASIGNACION POR SALUD DE:HUANCAPAZA MAMANI, JUAN WILBER, Resolución N° 002803-2019</t>
  </si>
  <si>
    <t>421881215913</t>
  </si>
  <si>
    <t>CESE POR LIMITE DE EDAD DE: CALIZAYA MALDONADO, FORTUNATO, Resolución Nº 002003-2018</t>
  </si>
  <si>
    <t>MAMANI</t>
  </si>
  <si>
    <t>PAP APROBADO</t>
  </si>
  <si>
    <t>1171114020N6</t>
  </si>
  <si>
    <t>R.M. N° 271-2018-MINEDU</t>
  </si>
  <si>
    <t>CABANA</t>
  </si>
  <si>
    <t>WENCESLAO QUINTIN</t>
  </si>
  <si>
    <t>1029572980</t>
  </si>
  <si>
    <t>1171114010N2</t>
  </si>
  <si>
    <t>REASIGNACION DE PERSONAL DOCENTE : APAZA COPACATI, SONIA MERCEDES, Resolución Nº 1234-2005</t>
  </si>
  <si>
    <t>1004427021</t>
  </si>
  <si>
    <t>1171114010N3</t>
  </si>
  <si>
    <t>CONDORI</t>
  </si>
  <si>
    <t>1171114010N9</t>
  </si>
  <si>
    <t>REASIGNACION POR SALUD DE:CORDOVA DELGADO, CESAR JESUS, Resolución N° 002218</t>
  </si>
  <si>
    <t>CHAMBILLA</t>
  </si>
  <si>
    <t>1000793086</t>
  </si>
  <si>
    <t>1171114010N4</t>
  </si>
  <si>
    <t>REASIGNACION POR RACIONALIZACION DE:NINA FERNANDEZ, YONY SUSI, Resolución N° 001429-2019</t>
  </si>
  <si>
    <t>1171114010N6</t>
  </si>
  <si>
    <t>REASIGNACION POR INTERES PERSONAL DE:FORAQUITA LEONARDO, SONIA LIDIA, Resolución N° 002152</t>
  </si>
  <si>
    <t>MENDOZA</t>
  </si>
  <si>
    <t>1171114010N7</t>
  </si>
  <si>
    <t>DESIGNACION COMO DIRECTIVO DE I.E. (R.S.G. 1551-2014) DE VILLASANTE LAURA, NEIL ROGER</t>
  </si>
  <si>
    <t>EBA</t>
  </si>
  <si>
    <t>Básica Alternativa-Avanzado</t>
  </si>
  <si>
    <t>ENCARGATURA</t>
  </si>
  <si>
    <t>APAZA</t>
  </si>
  <si>
    <t>1004742615</t>
  </si>
  <si>
    <t>1004745269</t>
  </si>
  <si>
    <t>1195113010N4</t>
  </si>
  <si>
    <t>RENUNCIA DESIGNACION COMO DIRECTIVO DE I.E. (RSG Nº 279-2016-MINEDU) de: QUISPE HUACAN, LUCIO ALBERTO</t>
  </si>
  <si>
    <t>OFICIO N° 816-2016/SPE-OPEP-UPP (28/12/2016)</t>
  </si>
  <si>
    <t>421861215912</t>
  </si>
  <si>
    <t>NONAGESIMA SEGUNDA DISPOSICION COMPLEMENTARIA FINAL DE LA LEY Nº 29951 (MEMORANDUM N° 4299-2012-MINEDU/SPE-UP)</t>
  </si>
  <si>
    <t>421881215916</t>
  </si>
  <si>
    <t>421881215917</t>
  </si>
  <si>
    <t>JEC</t>
  </si>
  <si>
    <t>1043152336</t>
  </si>
  <si>
    <t>1004431413</t>
  </si>
  <si>
    <t>1142114010N7</t>
  </si>
  <si>
    <t>1142114010N2</t>
  </si>
  <si>
    <t>REASIGNACION POR INTERES PERSONAL DE:ARAPA POLO, ANA NADIA, Resolución N° 004039-2018</t>
  </si>
  <si>
    <t>1142114010N3</t>
  </si>
  <si>
    <t>1142114010N4</t>
  </si>
  <si>
    <t>REASIGNACION POR INTERES PERSONAL DE:HUANCAPAZA MAMANI, JUAN WILBER, Resolución N° 002153</t>
  </si>
  <si>
    <t>1142114010N5</t>
  </si>
  <si>
    <t>REASIGNACION POR INTERES PERSONAL DE:MEDINA TALA, LEONEL PERCY, Resolución N° 004039-2018</t>
  </si>
  <si>
    <t>1040260990</t>
  </si>
  <si>
    <t>ENCARGATURA DE FUNCIONES COMO COORDINADOR DE TUTORIA JEC</t>
  </si>
  <si>
    <t>ENCARGATURA DE FUNCIONES COMO COORDINADOR PEDAGOGICO JEC</t>
  </si>
  <si>
    <t>1101114010N6</t>
  </si>
  <si>
    <t>1101114010N2</t>
  </si>
  <si>
    <t>1101114010N3</t>
  </si>
  <si>
    <t>1024582404</t>
  </si>
  <si>
    <t>1131114010N3</t>
  </si>
  <si>
    <t>RENUNCIA DE DESIGNACION COMO DIRECTIVO DE I.E. (R.S.G. Nº 1551-2014) DE : PACHECO FLORES, PEDRO ELARD</t>
  </si>
  <si>
    <t>1131114010N5</t>
  </si>
  <si>
    <t>1131114010N8</t>
  </si>
  <si>
    <t>1029257760</t>
  </si>
  <si>
    <t>1131114030N1</t>
  </si>
  <si>
    <t>1131114010N0</t>
  </si>
  <si>
    <t>1131114010N2</t>
  </si>
  <si>
    <t>CESE POR LIMITE DE EDAD DE: APAZA VENTURA, JUAN AGRIPINO, Resolución Nº 002246</t>
  </si>
  <si>
    <t>1000513128</t>
  </si>
  <si>
    <t>1131114020N4</t>
  </si>
  <si>
    <t>REASIGNACION POR SALUD DE:MEDINA FLORES, ALIOSKA BRENDA, Resolución N° 002224</t>
  </si>
  <si>
    <t>1004742211</t>
  </si>
  <si>
    <t>1131114020N5</t>
  </si>
  <si>
    <t>1131114020N6</t>
  </si>
  <si>
    <t>1004725776</t>
  </si>
  <si>
    <t>1131114010N6</t>
  </si>
  <si>
    <t>REASIGNACION POR INTERES PERSONAL DE: ARUHUANCA CRUZ, MARIA LINA, Resolución Nº 00144</t>
  </si>
  <si>
    <t>1030843237</t>
  </si>
  <si>
    <t>APROBACION DEL PAP RD 1155-2005-UGELMN</t>
  </si>
  <si>
    <t>1151114020N4</t>
  </si>
  <si>
    <t>1151114010N7</t>
  </si>
  <si>
    <t>REASIGNACION POR UNIDAD FAMILIAR DE:SOSA PEÑALOZA, EDGAR GUSTAVO, Resolución N° 003817-2017</t>
  </si>
  <si>
    <t>1004435254</t>
  </si>
  <si>
    <t>1151114010N2</t>
  </si>
  <si>
    <t>DESIGNACION COMO DIRECTIVO DE I.E (R.M. N° 318-2018) DE:  ARPASI CCOPA, HUGO MIGUEL</t>
  </si>
  <si>
    <t>1151114010N4</t>
  </si>
  <si>
    <t>REASIGNACION INTER-UGEL DE: ESPINOZA ROMERO, JORGE RENE, Resolución Nº 0151-2010</t>
  </si>
  <si>
    <t>1004433480</t>
  </si>
  <si>
    <t>1151114010N5</t>
  </si>
  <si>
    <t>1151114010N6</t>
  </si>
  <si>
    <t>REASIGNACION POR INTERES PERSONAL DE: ROJAS VILLANUEVA, VICTORIA IMELDA, Resolución Nº 01955-2017</t>
  </si>
  <si>
    <t>1151114010N8</t>
  </si>
  <si>
    <t>DESIGNACION COMO ESPECIALISTA EN EDUCACION DE: ROJAS TITO, LOURDES BEATRIZ SEGUN RSG Nº 279-2016</t>
  </si>
  <si>
    <t>1112114010N4</t>
  </si>
  <si>
    <t>1112114010N2</t>
  </si>
  <si>
    <t>REASIGNACION POR INTERES PERSONAL DE:CACERES CHAMBILLA, ANGEL, Resolución N° 003427</t>
  </si>
  <si>
    <t>1002402865</t>
  </si>
  <si>
    <t>1004648061</t>
  </si>
  <si>
    <t>1029439712</t>
  </si>
  <si>
    <t>COMUNICACION</t>
  </si>
  <si>
    <t>ARTE Y CULTURA</t>
  </si>
  <si>
    <t>CIENCIAS SOCIALES</t>
  </si>
  <si>
    <t>DESARROLLO PERSONAL, CIUDADANIA Y CIVICA</t>
  </si>
  <si>
    <t>EDUCACION FISICA</t>
  </si>
  <si>
    <t>EDUCACION RELIGIOSA</t>
  </si>
  <si>
    <t>CIENCIA Y TECNOLOGIA</t>
  </si>
  <si>
    <t>TUTORIA Y ORIENTACION EDUCATIVA</t>
  </si>
  <si>
    <t>CIENCIA, TECNOLOGIA Y SALUD</t>
  </si>
  <si>
    <t>DESARROLLO PERSONAL Y CIUDADANO</t>
  </si>
  <si>
    <t>COD</t>
  </si>
  <si>
    <t>MATERIA</t>
  </si>
  <si>
    <t>JORNADA DE HORA</t>
  </si>
  <si>
    <t>0591099</t>
  </si>
  <si>
    <t>0708701</t>
  </si>
  <si>
    <t>1125301</t>
  </si>
  <si>
    <t>1260439</t>
  </si>
  <si>
    <t>1373596</t>
  </si>
  <si>
    <t>1373604</t>
  </si>
  <si>
    <t>1545649</t>
  </si>
  <si>
    <t>1546993</t>
  </si>
  <si>
    <t>421841215714</t>
  </si>
  <si>
    <t>UGEL SAN IGNACIO DE LOYOLA</t>
  </si>
  <si>
    <t>REASIGNACION POR SALUD DE: LINARES MAMANI, TRINIDAD TERESA, Resolución Nº RD 1921-2022</t>
  </si>
  <si>
    <t>CARI</t>
  </si>
  <si>
    <t>VENTURA</t>
  </si>
  <si>
    <t>MATEO EDGAR</t>
  </si>
  <si>
    <t>ARAPA</t>
  </si>
  <si>
    <t>POLO</t>
  </si>
  <si>
    <t>ANA NADIA</t>
  </si>
  <si>
    <t>CACERES</t>
  </si>
  <si>
    <t>ANGEL</t>
  </si>
  <si>
    <t>CHURA</t>
  </si>
  <si>
    <t>CCAMA</t>
  </si>
  <si>
    <t>JULIO</t>
  </si>
  <si>
    <t>LUIS ADOLFO</t>
  </si>
  <si>
    <t>COLOMA</t>
  </si>
  <si>
    <t>JOSE MANUEL</t>
  </si>
  <si>
    <t>4</t>
  </si>
  <si>
    <t>1</t>
  </si>
  <si>
    <t>5</t>
  </si>
  <si>
    <t>2</t>
  </si>
  <si>
    <t>3</t>
  </si>
  <si>
    <t>AMPLIACION DE DESIGNACION DIRECTIVOS DE I.E (LEY N 31695)</t>
  </si>
  <si>
    <t>2023</t>
  </si>
  <si>
    <t>2027</t>
  </si>
  <si>
    <t>ORGÁNICA</t>
  </si>
  <si>
    <t xml:space="preserve">                                Grados
Variables</t>
  </si>
  <si>
    <t>EBR - REVITALIZACIÓN</t>
  </si>
  <si>
    <t>EBR - FORTALECIMIENTO</t>
  </si>
  <si>
    <t>COMUNICACIÓN EN LENGUA MATERNA (LENGUA ORIGINARIA)</t>
  </si>
  <si>
    <t>COMUNICACIÓN EN SEGUNDA LENGUA (CASTELLANO)</t>
  </si>
  <si>
    <t>COMUNICACIÓN EN LENGUA MATERNA (CASTELLANO)</t>
  </si>
  <si>
    <t>HLD3</t>
  </si>
  <si>
    <t>CHARAMAYA</t>
  </si>
  <si>
    <t>COMUNICACIÓN EN SEGUNDA LENGUA (LENGUA ORIGINARIA)</t>
  </si>
  <si>
    <t>CESE A SOLICITUD DE: HUIZA FLORES, ALEX PEDRO, Resolución Nº RDR N° 668-2023</t>
  </si>
  <si>
    <t>REASIGNACION POR INTERES PERSONAL DE: FLORES VENTURA, ARTEMIO NEPTALI, Resolución Nº 00541</t>
  </si>
  <si>
    <t>REASIGNACION POR UNIDAD FAMILIAR DE: VENTURA CHAMBILLA, RITA MARCELINA, Resolución Nº 1994-2020</t>
  </si>
  <si>
    <t>REASIGNACION POR UNIDAD FAMILIAR DE: SALAS CONDORI, PEDRO NICOLAS, Resolución Nº RD N° 2309-2021</t>
  </si>
  <si>
    <t>QUISPE</t>
  </si>
  <si>
    <t>PEÑALOZA</t>
  </si>
  <si>
    <t>DELTA FANNI</t>
  </si>
  <si>
    <t>LAURA</t>
  </si>
  <si>
    <t>MAQUERA</t>
  </si>
  <si>
    <t>ROXANA ELIZABETH</t>
  </si>
  <si>
    <t>EUSEBIO</t>
  </si>
  <si>
    <t>QUENTA</t>
  </si>
  <si>
    <t>CHOQUE</t>
  </si>
  <si>
    <t>JULIO CESAR</t>
  </si>
  <si>
    <t>PARIZACA</t>
  </si>
  <si>
    <t>IVAN PEDRO</t>
  </si>
  <si>
    <t>PIO HERNAN</t>
  </si>
  <si>
    <t>ELVIS MARCELO</t>
  </si>
  <si>
    <t>1040260988</t>
  </si>
  <si>
    <t>1080135979</t>
  </si>
  <si>
    <t>1041548110</t>
  </si>
  <si>
    <t>1046280850</t>
  </si>
  <si>
    <t>REASIGNACION POR SALUD DE: CONDORI MAMANI, PAULA CECILIA, Resolución Nº RD UGEL MN N° 1153-2021</t>
  </si>
  <si>
    <t>COAYLA</t>
  </si>
  <si>
    <t>EDGAR OSCAR</t>
  </si>
  <si>
    <t>ZAPANA</t>
  </si>
  <si>
    <t>NUÑEZ</t>
  </si>
  <si>
    <t>WALTER</t>
  </si>
  <si>
    <t>CUAYLA</t>
  </si>
  <si>
    <t>MARIBEL MARTHA</t>
  </si>
  <si>
    <t>FLORES</t>
  </si>
  <si>
    <t>PERCY</t>
  </si>
  <si>
    <t>ROBERTO</t>
  </si>
  <si>
    <t>1041380534</t>
  </si>
  <si>
    <t>1004438374</t>
  </si>
  <si>
    <t>1001870312</t>
  </si>
  <si>
    <t>REASIGNACION POR INTERES PERSONAL DE: RAMIREZ QUISPE, ROBERTO WILSON, Resolución Nº RDR N° 53-2023</t>
  </si>
  <si>
    <t>VALERIO RENE</t>
  </si>
  <si>
    <t>EDWIN ORLANDO</t>
  </si>
  <si>
    <t>CCOSI</t>
  </si>
  <si>
    <t>RENE</t>
  </si>
  <si>
    <t>VERA</t>
  </si>
  <si>
    <t>ROJAS</t>
  </si>
  <si>
    <t>PAOLA</t>
  </si>
  <si>
    <t>MACHACA</t>
  </si>
  <si>
    <t>HUAYTA</t>
  </si>
  <si>
    <t>YUDY</t>
  </si>
  <si>
    <t>LICENCIA SGR POR DESEMPEÑO DE FUNCION PUBLICA</t>
  </si>
  <si>
    <t>1040750769</t>
  </si>
  <si>
    <t>1004650689</t>
  </si>
  <si>
    <t>1040077631</t>
  </si>
  <si>
    <t>REASIGNACION POR INTERES PERSONAL DE: TICONA GALDOS, REYNALDO, Resolución Nº RD N° 751-2021</t>
  </si>
  <si>
    <t>CASILLA</t>
  </si>
  <si>
    <t>MALDONADO</t>
  </si>
  <si>
    <t>WILLIAM PEDRO</t>
  </si>
  <si>
    <t>PACORI</t>
  </si>
  <si>
    <t>PEDRO DAVID</t>
  </si>
  <si>
    <t>HAYDE NANCY</t>
  </si>
  <si>
    <t>1001320295</t>
  </si>
  <si>
    <t>1004743089</t>
  </si>
  <si>
    <t>1043510641</t>
  </si>
  <si>
    <t>421811215711</t>
  </si>
  <si>
    <t>421811215714</t>
  </si>
  <si>
    <t>421811215715</t>
  </si>
  <si>
    <t>CESE POR FALLECIMIENTO DE: CHAMBILLA CONDORI, DENNYS VLADIMIR, Resolución Nº RDR N° 1425-2022</t>
  </si>
  <si>
    <t>COLQUEHUANCA</t>
  </si>
  <si>
    <t>VILCA</t>
  </si>
  <si>
    <t>ROLANDO</t>
  </si>
  <si>
    <t>COILA</t>
  </si>
  <si>
    <t>YENY</t>
  </si>
  <si>
    <t>NINA</t>
  </si>
  <si>
    <t>NUÑEZ DEL PRADO</t>
  </si>
  <si>
    <t>EDWIN WILLIAM</t>
  </si>
  <si>
    <t>SONIA VERONICA</t>
  </si>
  <si>
    <t>TANTANI</t>
  </si>
  <si>
    <t>PEDRO MIGUEL</t>
  </si>
  <si>
    <t>LLANOS</t>
  </si>
  <si>
    <t>MARTINA</t>
  </si>
  <si>
    <t>1002447258</t>
  </si>
  <si>
    <t>1044198544</t>
  </si>
  <si>
    <t>1043515427</t>
  </si>
  <si>
    <t>1029606135</t>
  </si>
  <si>
    <t>1043818037</t>
  </si>
  <si>
    <t>LICENCIA CGR POR INCAPACIDAD TEMPORAL(Enfermedad)</t>
  </si>
  <si>
    <t>REASIGNACION POR UNIDAD FAMILIAR DE: MEDINA TALA, LEONEL PERCY, Resolución Nº RD N° 3321-2022</t>
  </si>
  <si>
    <t>ARPASI</t>
  </si>
  <si>
    <t>GOMEZ</t>
  </si>
  <si>
    <t>HENRY WALTER</t>
  </si>
  <si>
    <t>CHATA</t>
  </si>
  <si>
    <t>COLQUE</t>
  </si>
  <si>
    <t>EDGAR</t>
  </si>
  <si>
    <t>CCAPIA</t>
  </si>
  <si>
    <t>FRANCISCA</t>
  </si>
  <si>
    <t>ARO</t>
  </si>
  <si>
    <t>ROGELIO ROMAN</t>
  </si>
  <si>
    <t>1001317932</t>
  </si>
  <si>
    <t>1001782279</t>
  </si>
  <si>
    <t>421811215710</t>
  </si>
  <si>
    <t>421811215713</t>
  </si>
  <si>
    <t>421811215716</t>
  </si>
  <si>
    <t>421811215719</t>
  </si>
  <si>
    <t>VIZCARRA</t>
  </si>
  <si>
    <t>CORI</t>
  </si>
  <si>
    <t>VERGILIO RAUL</t>
  </si>
  <si>
    <t>RODRIGUEZ</t>
  </si>
  <si>
    <t>JACKELINE ALICIA</t>
  </si>
  <si>
    <t>EUGENIO CHIN</t>
  </si>
  <si>
    <t>FREDY ALEJANDRO</t>
  </si>
  <si>
    <t>ALVAREZ</t>
  </si>
  <si>
    <t>HUANCA</t>
  </si>
  <si>
    <t>HERMES</t>
  </si>
  <si>
    <t>1004744055</t>
  </si>
  <si>
    <t>1004438700</t>
  </si>
  <si>
    <t>1042475138</t>
  </si>
  <si>
    <t>1043272149</t>
  </si>
  <si>
    <t>1042231576</t>
  </si>
  <si>
    <t>421811215717</t>
  </si>
  <si>
    <t>421841215712</t>
  </si>
  <si>
    <t>421841215718</t>
  </si>
  <si>
    <t>REASIGNACION POR INTERES PERSONAL DE: COTRADO RISALAZO, BRAULIO, Resolución Nº 1563-2021</t>
  </si>
  <si>
    <t>AMADOR JUAN</t>
  </si>
  <si>
    <t>SANIZO</t>
  </si>
  <si>
    <t>CRUZ</t>
  </si>
  <si>
    <t>NORMA NORA</t>
  </si>
  <si>
    <t>CUTIPA</t>
  </si>
  <si>
    <t>CARMEN TRINIDAD</t>
  </si>
  <si>
    <t>CUNO</t>
  </si>
  <si>
    <t>ROGER</t>
  </si>
  <si>
    <t>1042751090</t>
  </si>
  <si>
    <t>1000486514</t>
  </si>
  <si>
    <t>JER-EIB</t>
  </si>
  <si>
    <t>COMUNICACIÓN</t>
  </si>
  <si>
    <t>TECHO BOLSA DE HORAS</t>
  </si>
  <si>
    <t>No olvidar de colocar la jornada pedagogica según corresponda</t>
  </si>
  <si>
    <t>Las Horas de Dictado sera de acuerdo a la carga horaria asignado para el presente periodo academico 2024</t>
  </si>
  <si>
    <t>En el Cuadro de Cargos Presupuestados, aparecerá el Codigo Plaza del servidor.</t>
  </si>
  <si>
    <t>Verificar si coincide el total de horas</t>
  </si>
  <si>
    <t>INDICACIONES PARA EL CONSOLIDADO DEL CUADRO DE HORAS 2024</t>
  </si>
  <si>
    <t>Ingrese el codigo modular y agregar en el recuadro secciones el numero de secciones APROBADO</t>
  </si>
  <si>
    <t>Área de Gestión Institucional</t>
  </si>
  <si>
    <t>40 Horas Cronológicas</t>
  </si>
  <si>
    <t>Área de Gestión Pedagógica</t>
  </si>
  <si>
    <t>30 Horas Pedagógicas</t>
  </si>
  <si>
    <t>DIRECTOR</t>
  </si>
  <si>
    <t>I</t>
  </si>
  <si>
    <t>BOLSA DE HORAS</t>
  </si>
  <si>
    <t>REASIGNACION POR INTERES PERSONAL DE: ASENCIO RAMOS, SANTOS, Resolución Nº RD 01984-2023</t>
  </si>
  <si>
    <t>LIMACHI</t>
  </si>
  <si>
    <t>MARITZA</t>
  </si>
  <si>
    <t>DESIGNACION DE DIRECTIVOS DE I.E (RVM N° 166-2022-MINEDU)</t>
  </si>
  <si>
    <t>1040894001</t>
  </si>
  <si>
    <t/>
  </si>
  <si>
    <t>Cuadro de Distribución de Horas Pedagógicas 2025</t>
  </si>
  <si>
    <t>Wenceslao Q. Cabana Mamani</t>
  </si>
  <si>
    <t>PRIMARIA</t>
  </si>
  <si>
    <t xml:space="preserve">Roberto Cabana Mamani </t>
  </si>
  <si>
    <t>Ciencias Sociales</t>
  </si>
  <si>
    <t>Comunicación en segunda Lengua</t>
  </si>
  <si>
    <t>Tutoría y orientación educativa</t>
  </si>
  <si>
    <t>Erika Victoria Mamani Mamani</t>
  </si>
  <si>
    <t>NOMBRADA</t>
  </si>
  <si>
    <t>Ray Hassan Mendizabal Chahuarez</t>
  </si>
  <si>
    <t>Ciencia y tecnología</t>
  </si>
  <si>
    <t>Desarrollo personal, ciudadanía y cívica</t>
  </si>
  <si>
    <t>Comunicaciónen lengua materna Castellano</t>
  </si>
  <si>
    <t>ANGEL CACERES CHAMBILLA</t>
  </si>
  <si>
    <t>EDGAR OSCAR MAMANI COAYLA</t>
  </si>
  <si>
    <t>Educación física</t>
  </si>
  <si>
    <t>Educación para el trabajo</t>
  </si>
  <si>
    <t>ARTE (BANDA - MUSICA)</t>
  </si>
  <si>
    <t>Arte y cultura</t>
  </si>
  <si>
    <t>Educación religiosa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</si>
</sst>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"/>
    <numFmt numFmtId="165" formatCode="0#"/>
    <numFmt numFmtId="166" formatCode="0000000"/>
    <numFmt numFmtId="167" formatCode="0\ &quot;Horas&quot;"/>
    <numFmt numFmtId="168" formatCode="0\ &quot;Horas Pedagógicas&quot;"/>
  </numFmts>
  <fonts count="82" x14ac:knownFonts="1">
    <font>
      <sz val="10"/>
      <name val="Arial"/>
    </font>
    <font>
      <sz val="10"/>
      <name val="Arial Narrow"/>
      <family val="2"/>
    </font>
    <font>
      <b/>
      <sz val="10"/>
      <name val="Arial Narrow"/>
      <family val="2"/>
    </font>
    <font>
      <b/>
      <u/>
      <sz val="10"/>
      <name val="Arial Narrow"/>
      <family val="2"/>
    </font>
    <font>
      <b/>
      <u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14"/>
      <name val="Arial Narrow"/>
      <family val="2"/>
    </font>
    <font>
      <sz val="8"/>
      <name val="Arial"/>
      <family val="2"/>
    </font>
    <font>
      <sz val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sz val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u/>
      <sz val="11"/>
      <name val="Arial Narrow"/>
      <family val="2"/>
    </font>
    <font>
      <sz val="11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4"/>
      <name val="Arial Narrow"/>
      <family val="2"/>
    </font>
    <font>
      <b/>
      <u/>
      <sz val="18"/>
      <name val="Arial Narrow"/>
      <family val="2"/>
    </font>
    <font>
      <b/>
      <u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  <font>
      <b/>
      <sz val="11"/>
      <name val="Arial"/>
      <family val="2"/>
    </font>
    <font>
      <sz val="14"/>
      <name val="Arial Narrow"/>
      <family val="2"/>
    </font>
    <font>
      <sz val="18"/>
      <name val="Arial"/>
      <family val="2"/>
    </font>
    <font>
      <sz val="14"/>
      <name val="Arial"/>
      <family val="2"/>
    </font>
    <font>
      <b/>
      <sz val="14"/>
      <name val="Arial Black"/>
      <family val="2"/>
    </font>
    <font>
      <sz val="11"/>
      <name val="Arial"/>
      <family val="2"/>
    </font>
    <font>
      <b/>
      <i/>
      <sz val="12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name val="Calibri"/>
      <family val="2"/>
    </font>
    <font>
      <b/>
      <sz val="9"/>
      <name val="Arial Narrow"/>
      <family val="2"/>
    </font>
    <font>
      <b/>
      <u/>
      <sz val="8"/>
      <name val="Arial Narrow"/>
      <family val="2"/>
    </font>
    <font>
      <b/>
      <sz val="11"/>
      <name val="Arial Narrow"/>
      <family val="2"/>
    </font>
    <font>
      <b/>
      <sz val="18"/>
      <name val="Arial"/>
      <family val="2"/>
    </font>
    <font>
      <b/>
      <sz val="7"/>
      <name val="Arial"/>
      <family val="2"/>
    </font>
    <font>
      <sz val="7"/>
      <name val="Arial Narrow"/>
      <family val="2"/>
    </font>
    <font>
      <b/>
      <sz val="9"/>
      <name val="Arial"/>
      <family val="2"/>
    </font>
    <font>
      <sz val="12"/>
      <name val="Georgia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8"/>
      <color rgb="FFFF0000"/>
      <name val="Arial"/>
      <family val="2"/>
    </font>
    <font>
      <sz val="10"/>
      <color rgb="FFFF0000"/>
      <name val="Arial Narrow"/>
      <family val="2"/>
    </font>
    <font>
      <sz val="11"/>
      <color rgb="FFFF0000"/>
      <name val="Arial Narrow"/>
      <family val="2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7A0000"/>
      <name val="Calibri"/>
      <family val="2"/>
      <scheme val="minor"/>
    </font>
    <font>
      <b/>
      <sz val="18"/>
      <color rgb="FF7A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Arial Narrow"/>
      <family val="2"/>
    </font>
    <font>
      <b/>
      <sz val="11"/>
      <color theme="0"/>
      <name val="Arial Narrow"/>
      <family val="2"/>
    </font>
    <font>
      <b/>
      <sz val="18"/>
      <color theme="3" tint="-0.249977111117893"/>
      <name val="Calibri"/>
      <family val="2"/>
      <scheme val="minor"/>
    </font>
    <font>
      <sz val="12"/>
      <color rgb="FF000000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sz val="10"/>
      <color theme="0"/>
      <name val="Arial Narrow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u/>
      <sz val="10"/>
      <color theme="0"/>
      <name val="Arial Narrow"/>
      <family val="2"/>
    </font>
    <font>
      <b/>
      <sz val="10"/>
      <color theme="0"/>
      <name val="Arial"/>
      <family val="2"/>
    </font>
    <font>
      <sz val="12"/>
      <color theme="0"/>
      <name val="Arial"/>
      <family val="2"/>
    </font>
    <font>
      <sz val="7"/>
      <name val="Calibri"/>
      <family val="2"/>
      <scheme val="minor"/>
    </font>
    <font>
      <sz val="9"/>
      <color rgb="FFFF0000"/>
      <name val="Arial Narrow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FF0000"/>
      <name val="Arial"/>
      <family val="2"/>
    </font>
    <font>
      <sz val="7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6"/>
      <color theme="3" tint="-0.249977111117893"/>
      <name val="Calibri"/>
      <family val="2"/>
      <scheme val="minor"/>
    </font>
    <font>
      <b/>
      <sz val="14"/>
      <color rgb="FF7A0000"/>
      <name val="Calibri"/>
      <family val="2"/>
      <scheme val="minor"/>
    </font>
    <font>
      <b/>
      <sz val="15"/>
      <color rgb="FF7A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A8DFE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Down="1">
      <left/>
      <right/>
      <top style="medium">
        <color indexed="64"/>
      </top>
      <bottom/>
      <diagonal style="thin">
        <color indexed="64"/>
      </diagonal>
    </border>
    <border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581">
    <xf numFmtId="0" fontId="0" fillId="0" borderId="0" xfId="0"/>
    <xf numFmtId="0" fontId="19" fillId="0" borderId="77" xfId="0" applyFont="1" applyBorder="1" applyAlignment="1">
      <alignment horizontal="center" vertical="center" wrapText="1"/>
    </xf>
    <xf numFmtId="0" fontId="19" fillId="0" borderId="78" xfId="0" applyFont="1" applyBorder="1" applyAlignment="1">
      <alignment horizontal="center" vertical="center" wrapText="1"/>
    </xf>
    <xf numFmtId="0" fontId="19" fillId="5" borderId="77" xfId="0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26" fillId="2" borderId="0" xfId="1" applyFont="1" applyFill="1"/>
    <xf numFmtId="0" fontId="6" fillId="0" borderId="0" xfId="1"/>
    <xf numFmtId="0" fontId="1" fillId="0" borderId="0" xfId="0" applyFont="1" applyAlignment="1" applyProtection="1">
      <alignment horizontal="center" vertical="center"/>
      <protection locked="0"/>
    </xf>
    <xf numFmtId="0" fontId="9" fillId="0" borderId="1" xfId="0" quotePrefix="1" applyFont="1" applyBorder="1" applyAlignment="1" applyProtection="1">
      <alignment horizontal="center" vertical="center" wrapText="1"/>
      <protection locked="0"/>
    </xf>
    <xf numFmtId="0" fontId="9" fillId="0" borderId="2" xfId="0" quotePrefix="1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/>
    <xf numFmtId="0" fontId="0" fillId="6" borderId="0" xfId="0" applyFill="1"/>
    <xf numFmtId="0" fontId="29" fillId="0" borderId="0" xfId="0" applyFont="1"/>
    <xf numFmtId="0" fontId="6" fillId="6" borderId="0" xfId="0" applyFont="1" applyFill="1" applyProtection="1">
      <protection locked="0"/>
    </xf>
    <xf numFmtId="0" fontId="25" fillId="6" borderId="0" xfId="0" applyFont="1" applyFill="1"/>
    <xf numFmtId="0" fontId="46" fillId="0" borderId="0" xfId="0" applyFont="1"/>
    <xf numFmtId="0" fontId="19" fillId="0" borderId="79" xfId="0" applyFont="1" applyBorder="1" applyAlignment="1">
      <alignment horizontal="center" vertical="center" wrapText="1"/>
    </xf>
    <xf numFmtId="0" fontId="19" fillId="0" borderId="80" xfId="0" applyFont="1" applyBorder="1" applyAlignment="1">
      <alignment vertical="center" wrapText="1"/>
    </xf>
    <xf numFmtId="0" fontId="19" fillId="0" borderId="81" xfId="0" applyFont="1" applyBorder="1" applyAlignment="1">
      <alignment horizontal="center" vertical="center" wrapText="1"/>
    </xf>
    <xf numFmtId="0" fontId="19" fillId="0" borderId="82" xfId="0" applyFont="1" applyBorder="1" applyAlignment="1">
      <alignment vertical="center" wrapText="1"/>
    </xf>
    <xf numFmtId="0" fontId="19" fillId="7" borderId="81" xfId="0" applyFont="1" applyFill="1" applyBorder="1" applyAlignment="1">
      <alignment horizontal="center" vertical="center" wrapText="1"/>
    </xf>
    <xf numFmtId="0" fontId="19" fillId="7" borderId="82" xfId="0" applyFont="1" applyFill="1" applyBorder="1" applyAlignment="1">
      <alignment vertical="center" wrapText="1"/>
    </xf>
    <xf numFmtId="0" fontId="9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>
      <alignment horizontal="center"/>
    </xf>
    <xf numFmtId="0" fontId="31" fillId="0" borderId="0" xfId="0" applyFont="1" applyAlignment="1">
      <alignment wrapText="1"/>
    </xf>
    <xf numFmtId="0" fontId="31" fillId="0" borderId="0" xfId="0" applyFont="1"/>
    <xf numFmtId="0" fontId="31" fillId="6" borderId="0" xfId="0" applyFont="1" applyFill="1" applyAlignment="1">
      <alignment wrapText="1"/>
    </xf>
    <xf numFmtId="0" fontId="26" fillId="6" borderId="0" xfId="0" applyFont="1" applyFill="1" applyAlignment="1">
      <alignment horizontal="center"/>
    </xf>
    <xf numFmtId="0" fontId="5" fillId="0" borderId="0" xfId="0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right"/>
      <protection locked="0"/>
    </xf>
    <xf numFmtId="0" fontId="20" fillId="0" borderId="0" xfId="0" applyFont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14" fillId="8" borderId="7" xfId="0" applyFont="1" applyFill="1" applyBorder="1" applyAlignment="1" applyProtection="1">
      <alignment horizontal="center" vertical="center" wrapText="1"/>
      <protection locked="0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49" fontId="1" fillId="0" borderId="4" xfId="0" applyNumberFormat="1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49" fontId="1" fillId="0" borderId="9" xfId="0" applyNumberFormat="1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11" xfId="0" applyNumberFormat="1" applyFont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 applyProtection="1">
      <alignment vertical="center"/>
      <protection locked="0"/>
    </xf>
    <xf numFmtId="0" fontId="1" fillId="4" borderId="14" xfId="0" applyFont="1" applyFill="1" applyBorder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47" fillId="0" borderId="15" xfId="0" applyFont="1" applyBorder="1" applyAlignment="1" applyProtection="1">
      <alignment horizontal="center" vertical="center"/>
      <protection locked="0"/>
    </xf>
    <xf numFmtId="0" fontId="1" fillId="4" borderId="16" xfId="0" applyFont="1" applyFill="1" applyBorder="1" applyAlignment="1" applyProtection="1">
      <alignment vertical="center"/>
      <protection locked="0"/>
    </xf>
    <xf numFmtId="0" fontId="1" fillId="4" borderId="17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1" fontId="0" fillId="0" borderId="9" xfId="0" applyNumberForma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9" fillId="0" borderId="0" xfId="0" applyFont="1" applyProtection="1">
      <protection locked="0"/>
    </xf>
    <xf numFmtId="0" fontId="1" fillId="0" borderId="0" xfId="0" quotePrefix="1" applyFont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48" fillId="0" borderId="0" xfId="0" applyFont="1" applyProtection="1">
      <protection locked="0"/>
    </xf>
    <xf numFmtId="0" fontId="5" fillId="0" borderId="20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right"/>
      <protection locked="0"/>
    </xf>
    <xf numFmtId="0" fontId="20" fillId="0" borderId="0" xfId="0" applyFont="1"/>
    <xf numFmtId="0" fontId="5" fillId="0" borderId="21" xfId="0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 wrapText="1"/>
    </xf>
    <xf numFmtId="0" fontId="49" fillId="0" borderId="0" xfId="0" applyFont="1"/>
    <xf numFmtId="0" fontId="50" fillId="0" borderId="0" xfId="0" applyFont="1"/>
    <xf numFmtId="0" fontId="51" fillId="0" borderId="0" xfId="0" applyFont="1" applyAlignment="1" applyProtection="1">
      <alignment vertical="center"/>
      <protection locked="0"/>
    </xf>
    <xf numFmtId="0" fontId="52" fillId="0" borderId="0" xfId="0" applyFont="1" applyAlignment="1">
      <alignment horizontal="center"/>
    </xf>
    <xf numFmtId="0" fontId="5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12" fillId="0" borderId="9" xfId="0" applyFont="1" applyBorder="1" applyAlignment="1">
      <alignment horizontal="left" vertical="center"/>
    </xf>
    <xf numFmtId="0" fontId="6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4" fillId="9" borderId="7" xfId="0" applyFont="1" applyFill="1" applyBorder="1" applyAlignment="1">
      <alignment horizontal="center"/>
    </xf>
    <xf numFmtId="0" fontId="9" fillId="0" borderId="10" xfId="0" applyFont="1" applyBorder="1" applyAlignment="1">
      <alignment horizontal="center" vertical="center" wrapText="1"/>
    </xf>
    <xf numFmtId="1" fontId="6" fillId="0" borderId="9" xfId="0" applyNumberFormat="1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53" fillId="0" borderId="0" xfId="0" applyFont="1" applyProtection="1">
      <protection locked="0"/>
    </xf>
    <xf numFmtId="0" fontId="5" fillId="3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 applyProtection="1">
      <alignment horizontal="center" vertical="center"/>
      <protection locked="0"/>
    </xf>
    <xf numFmtId="0" fontId="1" fillId="0" borderId="28" xfId="0" applyFont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0" fontId="9" fillId="0" borderId="10" xfId="0" quotePrefix="1" applyFont="1" applyBorder="1" applyAlignment="1">
      <alignment horizontal="center" vertical="center" wrapText="1"/>
    </xf>
    <xf numFmtId="0" fontId="9" fillId="0" borderId="18" xfId="0" quotePrefix="1" applyFont="1" applyBorder="1" applyAlignment="1">
      <alignment horizontal="center" vertical="center" wrapText="1"/>
    </xf>
    <xf numFmtId="0" fontId="5" fillId="9" borderId="29" xfId="0" quotePrefix="1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9" fillId="9" borderId="10" xfId="0" applyFont="1" applyFill="1" applyBorder="1" applyAlignment="1">
      <alignment horizontal="center" vertical="center" wrapText="1"/>
    </xf>
    <xf numFmtId="0" fontId="9" fillId="9" borderId="2" xfId="0" applyFont="1" applyFill="1" applyBorder="1" applyAlignment="1">
      <alignment horizontal="center" vertical="center" wrapText="1"/>
    </xf>
    <xf numFmtId="0" fontId="9" fillId="9" borderId="18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center" vertical="center" wrapText="1"/>
    </xf>
    <xf numFmtId="0" fontId="5" fillId="9" borderId="29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vertical="center"/>
    </xf>
    <xf numFmtId="0" fontId="54" fillId="10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horizontal="center" vertical="center"/>
      <protection locked="0"/>
    </xf>
    <xf numFmtId="0" fontId="8" fillId="0" borderId="33" xfId="0" applyFont="1" applyBorder="1" applyAlignment="1" applyProtection="1">
      <alignment horizontal="center" vertical="center"/>
      <protection locked="0"/>
    </xf>
    <xf numFmtId="0" fontId="8" fillId="0" borderId="34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165" fontId="13" fillId="0" borderId="25" xfId="0" applyNumberFormat="1" applyFont="1" applyBorder="1" applyAlignment="1">
      <alignment horizontal="center" vertical="center"/>
    </xf>
    <xf numFmtId="165" fontId="13" fillId="0" borderId="37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2" fontId="1" fillId="0" borderId="0" xfId="0" applyNumberFormat="1" applyFont="1" applyProtection="1">
      <protection locked="0"/>
    </xf>
    <xf numFmtId="0" fontId="37" fillId="0" borderId="0" xfId="0" applyFont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34" fillId="0" borderId="38" xfId="0" applyFont="1" applyBorder="1" applyAlignment="1" applyProtection="1">
      <alignment horizontal="left" vertic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4" fontId="1" fillId="0" borderId="0" xfId="0" applyNumberFormat="1" applyFont="1" applyAlignment="1" applyProtection="1">
      <alignment vertical="center"/>
      <protection locked="0"/>
    </xf>
    <xf numFmtId="0" fontId="9" fillId="0" borderId="23" xfId="0" quotePrefix="1" applyFont="1" applyBorder="1" applyAlignment="1" applyProtection="1">
      <alignment horizontal="center" vertical="center" wrapText="1"/>
      <protection locked="0"/>
    </xf>
    <xf numFmtId="0" fontId="19" fillId="0" borderId="39" xfId="0" applyFont="1" applyBorder="1" applyAlignment="1">
      <alignment vertical="center" wrapText="1"/>
    </xf>
    <xf numFmtId="0" fontId="19" fillId="0" borderId="83" xfId="0" applyFont="1" applyBorder="1" applyAlignment="1">
      <alignment horizontal="center" vertical="center" wrapText="1"/>
    </xf>
    <xf numFmtId="0" fontId="19" fillId="0" borderId="3" xfId="0" applyFont="1" applyBorder="1" applyAlignment="1">
      <alignment vertical="center" wrapText="1"/>
    </xf>
    <xf numFmtId="0" fontId="1" fillId="0" borderId="15" xfId="0" applyFont="1" applyBorder="1" applyAlignment="1">
      <alignment horizontal="center" vertical="center"/>
    </xf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55" fillId="11" borderId="7" xfId="0" quotePrefix="1" applyFont="1" applyFill="1" applyBorder="1" applyAlignment="1">
      <alignment horizontal="center" vertical="center"/>
    </xf>
    <xf numFmtId="0" fontId="55" fillId="11" borderId="3" xfId="0" applyFont="1" applyFill="1" applyBorder="1" applyAlignment="1">
      <alignment horizontal="center" vertical="center"/>
    </xf>
    <xf numFmtId="2" fontId="38" fillId="12" borderId="7" xfId="0" quotePrefix="1" applyNumberFormat="1" applyFont="1" applyFill="1" applyBorder="1" applyAlignment="1">
      <alignment horizontal="center" vertical="center"/>
    </xf>
    <xf numFmtId="2" fontId="26" fillId="12" borderId="3" xfId="0" applyNumberFormat="1" applyFont="1" applyFill="1" applyBorder="1" applyAlignment="1">
      <alignment horizontal="center" vertical="center"/>
    </xf>
    <xf numFmtId="0" fontId="56" fillId="13" borderId="0" xfId="0" applyFont="1" applyFill="1" applyAlignment="1">
      <alignment horizontal="center"/>
    </xf>
    <xf numFmtId="0" fontId="51" fillId="0" borderId="0" xfId="0" applyFont="1" applyAlignment="1">
      <alignment horizontal="center" vertical="center"/>
    </xf>
    <xf numFmtId="0" fontId="51" fillId="0" borderId="42" xfId="0" applyFont="1" applyBorder="1" applyAlignment="1">
      <alignment horizontal="center" vertical="center"/>
    </xf>
    <xf numFmtId="0" fontId="51" fillId="0" borderId="43" xfId="0" applyFont="1" applyBorder="1" applyAlignment="1">
      <alignment horizontal="center" vertical="center"/>
    </xf>
    <xf numFmtId="0" fontId="51" fillId="0" borderId="34" xfId="0" applyFont="1" applyBorder="1" applyAlignment="1">
      <alignment horizontal="center" vertical="center"/>
    </xf>
    <xf numFmtId="0" fontId="51" fillId="0" borderId="44" xfId="0" applyFont="1" applyBorder="1" applyAlignment="1">
      <alignment horizontal="center" vertical="center"/>
    </xf>
    <xf numFmtId="0" fontId="0" fillId="13" borderId="0" xfId="0" applyFill="1"/>
    <xf numFmtId="0" fontId="52" fillId="13" borderId="0" xfId="0" applyFont="1" applyFill="1" applyAlignment="1">
      <alignment horizontal="center"/>
    </xf>
    <xf numFmtId="0" fontId="50" fillId="13" borderId="0" xfId="0" applyFont="1" applyFill="1"/>
    <xf numFmtId="0" fontId="57" fillId="0" borderId="0" xfId="0" applyFont="1" applyAlignment="1">
      <alignment horizontal="left" vertical="top"/>
    </xf>
    <xf numFmtId="0" fontId="50" fillId="0" borderId="0" xfId="0" applyFont="1" applyAlignment="1">
      <alignment horizontal="center"/>
    </xf>
    <xf numFmtId="0" fontId="1" fillId="0" borderId="9" xfId="0" applyFont="1" applyBorder="1" applyAlignment="1" applyProtection="1">
      <alignment horizontal="center" vertical="center"/>
      <protection locked="0"/>
    </xf>
    <xf numFmtId="0" fontId="5" fillId="3" borderId="42" xfId="0" applyFont="1" applyFill="1" applyBorder="1" applyAlignment="1" applyProtection="1">
      <alignment horizontal="center" vertical="center" wrapText="1"/>
      <protection locked="0"/>
    </xf>
    <xf numFmtId="0" fontId="26" fillId="2" borderId="0" xfId="1" applyFont="1" applyFill="1" applyAlignment="1">
      <alignment horizontal="center"/>
    </xf>
    <xf numFmtId="166" fontId="6" fillId="7" borderId="0" xfId="1" applyNumberFormat="1" applyFill="1"/>
    <xf numFmtId="0" fontId="6" fillId="7" borderId="0" xfId="1" applyFill="1"/>
    <xf numFmtId="0" fontId="6" fillId="7" borderId="0" xfId="1" applyFill="1" applyAlignment="1">
      <alignment horizontal="center"/>
    </xf>
    <xf numFmtId="14" fontId="6" fillId="7" borderId="0" xfId="1" applyNumberFormat="1" applyFill="1"/>
    <xf numFmtId="166" fontId="6" fillId="14" borderId="0" xfId="1" applyNumberFormat="1" applyFill="1"/>
    <xf numFmtId="0" fontId="6" fillId="14" borderId="0" xfId="1" applyFill="1"/>
    <xf numFmtId="0" fontId="6" fillId="14" borderId="0" xfId="1" applyFill="1" applyAlignment="1">
      <alignment horizontal="center"/>
    </xf>
    <xf numFmtId="14" fontId="6" fillId="14" borderId="0" xfId="1" applyNumberFormat="1" applyFill="1"/>
    <xf numFmtId="166" fontId="6" fillId="15" borderId="0" xfId="1" applyNumberFormat="1" applyFill="1"/>
    <xf numFmtId="0" fontId="6" fillId="15" borderId="0" xfId="1" applyFill="1"/>
    <xf numFmtId="0" fontId="6" fillId="15" borderId="0" xfId="1" applyFill="1" applyAlignment="1">
      <alignment horizontal="center"/>
    </xf>
    <xf numFmtId="14" fontId="6" fillId="15" borderId="0" xfId="1" applyNumberFormat="1" applyFill="1"/>
    <xf numFmtId="0" fontId="6" fillId="16" borderId="0" xfId="1" applyFill="1"/>
    <xf numFmtId="0" fontId="6" fillId="16" borderId="0" xfId="1" applyFill="1" applyAlignment="1">
      <alignment horizontal="center"/>
    </xf>
    <xf numFmtId="14" fontId="6" fillId="16" borderId="0" xfId="1" applyNumberFormat="1" applyFill="1"/>
    <xf numFmtId="166" fontId="6" fillId="17" borderId="0" xfId="1" applyNumberFormat="1" applyFill="1"/>
    <xf numFmtId="0" fontId="6" fillId="17" borderId="0" xfId="1" applyFill="1"/>
    <xf numFmtId="0" fontId="6" fillId="17" borderId="0" xfId="1" applyFill="1" applyAlignment="1">
      <alignment horizontal="center"/>
    </xf>
    <xf numFmtId="14" fontId="6" fillId="17" borderId="0" xfId="1" applyNumberFormat="1" applyFill="1"/>
    <xf numFmtId="166" fontId="6" fillId="18" borderId="0" xfId="1" applyNumberFormat="1" applyFill="1"/>
    <xf numFmtId="0" fontId="6" fillId="18" borderId="0" xfId="1" applyFill="1"/>
    <xf numFmtId="0" fontId="6" fillId="18" borderId="0" xfId="1" applyFill="1" applyAlignment="1">
      <alignment horizontal="center"/>
    </xf>
    <xf numFmtId="14" fontId="6" fillId="18" borderId="0" xfId="1" applyNumberFormat="1" applyFill="1"/>
    <xf numFmtId="166" fontId="6" fillId="19" borderId="0" xfId="1" applyNumberFormat="1" applyFill="1"/>
    <xf numFmtId="0" fontId="6" fillId="19" borderId="0" xfId="1" applyFill="1"/>
    <xf numFmtId="0" fontId="6" fillId="19" borderId="0" xfId="1" applyFill="1" applyAlignment="1">
      <alignment horizontal="center"/>
    </xf>
    <xf numFmtId="14" fontId="6" fillId="19" borderId="0" xfId="1" applyNumberFormat="1" applyFill="1"/>
    <xf numFmtId="166" fontId="6" fillId="20" borderId="0" xfId="1" applyNumberFormat="1" applyFill="1"/>
    <xf numFmtId="0" fontId="6" fillId="20" borderId="0" xfId="1" applyFill="1"/>
    <xf numFmtId="0" fontId="6" fillId="20" borderId="0" xfId="1" applyFill="1" applyAlignment="1">
      <alignment horizontal="center"/>
    </xf>
    <xf numFmtId="14" fontId="6" fillId="20" borderId="0" xfId="1" applyNumberFormat="1" applyFill="1"/>
    <xf numFmtId="0" fontId="6" fillId="21" borderId="0" xfId="1" applyFill="1"/>
    <xf numFmtId="0" fontId="6" fillId="22" borderId="0" xfId="1" applyFill="1"/>
    <xf numFmtId="0" fontId="6" fillId="23" borderId="0" xfId="1" applyFill="1"/>
    <xf numFmtId="0" fontId="6" fillId="24" borderId="0" xfId="1" applyFill="1"/>
    <xf numFmtId="0" fontId="6" fillId="25" borderId="0" xfId="1" applyFill="1"/>
    <xf numFmtId="0" fontId="6" fillId="26" borderId="0" xfId="1" applyFill="1"/>
    <xf numFmtId="0" fontId="6" fillId="6" borderId="0" xfId="1" applyFill="1"/>
    <xf numFmtId="0" fontId="6" fillId="27" borderId="0" xfId="1" applyFill="1"/>
    <xf numFmtId="0" fontId="6" fillId="28" borderId="0" xfId="1" applyFill="1"/>
    <xf numFmtId="0" fontId="6" fillId="29" borderId="0" xfId="1" applyFill="1"/>
    <xf numFmtId="0" fontId="6" fillId="30" borderId="0" xfId="1" applyFill="1"/>
    <xf numFmtId="0" fontId="6" fillId="31" borderId="0" xfId="1" applyFill="1"/>
    <xf numFmtId="0" fontId="6" fillId="32" borderId="0" xfId="1" applyFill="1"/>
    <xf numFmtId="0" fontId="6" fillId="33" borderId="0" xfId="1" applyFill="1"/>
    <xf numFmtId="0" fontId="58" fillId="12" borderId="0" xfId="1" applyFont="1" applyFill="1"/>
    <xf numFmtId="0" fontId="6" fillId="34" borderId="0" xfId="1" applyFill="1"/>
    <xf numFmtId="0" fontId="6" fillId="35" borderId="0" xfId="1" applyFill="1"/>
    <xf numFmtId="0" fontId="6" fillId="36" borderId="0" xfId="1" applyFill="1"/>
    <xf numFmtId="0" fontId="6" fillId="37" borderId="0" xfId="1" applyFill="1"/>
    <xf numFmtId="0" fontId="6" fillId="38" borderId="0" xfId="1" applyFill="1"/>
    <xf numFmtId="0" fontId="6" fillId="0" borderId="0" xfId="1" applyAlignment="1">
      <alignment horizontal="center"/>
    </xf>
    <xf numFmtId="0" fontId="19" fillId="5" borderId="82" xfId="0" applyFont="1" applyFill="1" applyBorder="1" applyAlignment="1">
      <alignment horizontal="center" vertical="center" wrapText="1"/>
    </xf>
    <xf numFmtId="0" fontId="19" fillId="0" borderId="82" xfId="0" applyFont="1" applyBorder="1" applyAlignment="1">
      <alignment horizontal="center" vertical="center" wrapText="1"/>
    </xf>
    <xf numFmtId="0" fontId="18" fillId="0" borderId="84" xfId="0" applyFont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 wrapText="1"/>
    </xf>
    <xf numFmtId="0" fontId="18" fillId="0" borderId="44" xfId="0" applyFont="1" applyBorder="1" applyAlignment="1">
      <alignment horizontal="center" vertical="center" wrapText="1"/>
    </xf>
    <xf numFmtId="0" fontId="2" fillId="0" borderId="42" xfId="0" applyFont="1" applyBorder="1" applyAlignment="1" applyProtection="1">
      <alignment horizontal="left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51" fillId="13" borderId="0" xfId="0" applyFont="1" applyFill="1" applyAlignment="1">
      <alignment vertical="center"/>
    </xf>
    <xf numFmtId="0" fontId="5" fillId="3" borderId="46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14" fillId="8" borderId="47" xfId="0" applyFont="1" applyFill="1" applyBorder="1" applyAlignment="1">
      <alignment horizontal="center" vertical="center" wrapText="1"/>
    </xf>
    <xf numFmtId="0" fontId="5" fillId="3" borderId="47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left" vertical="center"/>
    </xf>
    <xf numFmtId="0" fontId="5" fillId="3" borderId="36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5" fillId="3" borderId="46" xfId="0" applyFont="1" applyFill="1" applyBorder="1" applyAlignment="1" applyProtection="1">
      <alignment horizontal="center" vertical="center" wrapText="1"/>
      <protection locked="0"/>
    </xf>
    <xf numFmtId="0" fontId="14" fillId="8" borderId="47" xfId="0" applyFont="1" applyFill="1" applyBorder="1" applyAlignment="1" applyProtection="1">
      <alignment horizontal="center" vertical="center" wrapText="1"/>
      <protection locked="0"/>
    </xf>
    <xf numFmtId="0" fontId="5" fillId="3" borderId="47" xfId="0" applyFont="1" applyFill="1" applyBorder="1" applyAlignment="1" applyProtection="1">
      <alignment horizontal="center" vertical="center" wrapText="1"/>
      <protection locked="0"/>
    </xf>
    <xf numFmtId="0" fontId="19" fillId="0" borderId="86" xfId="0" applyFont="1" applyBorder="1" applyAlignment="1">
      <alignment horizontal="center" vertical="center" wrapText="1"/>
    </xf>
    <xf numFmtId="0" fontId="57" fillId="0" borderId="15" xfId="0" applyFont="1" applyBorder="1" applyAlignment="1">
      <alignment horizontal="left" vertical="top"/>
    </xf>
    <xf numFmtId="0" fontId="59" fillId="28" borderId="5" xfId="0" applyFont="1" applyFill="1" applyBorder="1" applyAlignment="1">
      <alignment horizontal="left"/>
    </xf>
    <xf numFmtId="0" fontId="59" fillId="7" borderId="5" xfId="0" applyFont="1" applyFill="1" applyBorder="1" applyAlignment="1">
      <alignment horizontal="left"/>
    </xf>
    <xf numFmtId="0" fontId="59" fillId="22" borderId="5" xfId="0" applyFont="1" applyFill="1" applyBorder="1" applyAlignment="1">
      <alignment horizontal="left"/>
    </xf>
    <xf numFmtId="0" fontId="59" fillId="39" borderId="5" xfId="0" applyFont="1" applyFill="1" applyBorder="1" applyAlignment="1">
      <alignment horizontal="left"/>
    </xf>
    <xf numFmtId="0" fontId="59" fillId="40" borderId="5" xfId="0" applyFont="1" applyFill="1" applyBorder="1" applyAlignment="1">
      <alignment horizontal="left"/>
    </xf>
    <xf numFmtId="0" fontId="59" fillId="41" borderId="5" xfId="0" applyFont="1" applyFill="1" applyBorder="1" applyAlignment="1">
      <alignment horizontal="left"/>
    </xf>
    <xf numFmtId="0" fontId="59" fillId="24" borderId="5" xfId="0" applyFont="1" applyFill="1" applyBorder="1" applyAlignment="1">
      <alignment horizontal="left"/>
    </xf>
    <xf numFmtId="0" fontId="59" fillId="20" borderId="5" xfId="0" applyFont="1" applyFill="1" applyBorder="1" applyAlignment="1">
      <alignment horizontal="left"/>
    </xf>
    <xf numFmtId="0" fontId="59" fillId="42" borderId="5" xfId="0" applyFont="1" applyFill="1" applyBorder="1" applyAlignment="1">
      <alignment horizontal="left"/>
    </xf>
    <xf numFmtId="0" fontId="59" fillId="43" borderId="15" xfId="0" applyFont="1" applyFill="1" applyBorder="1" applyAlignment="1">
      <alignment horizontal="left"/>
    </xf>
    <xf numFmtId="0" fontId="59" fillId="44" borderId="5" xfId="0" applyFont="1" applyFill="1" applyBorder="1" applyAlignment="1">
      <alignment horizontal="left"/>
    </xf>
    <xf numFmtId="0" fontId="40" fillId="28" borderId="48" xfId="0" applyFont="1" applyFill="1" applyBorder="1"/>
    <xf numFmtId="0" fontId="40" fillId="7" borderId="49" xfId="0" applyFont="1" applyFill="1" applyBorder="1"/>
    <xf numFmtId="0" fontId="40" fillId="0" borderId="49" xfId="0" applyFont="1" applyBorder="1"/>
    <xf numFmtId="0" fontId="40" fillId="43" borderId="49" xfId="0" applyFont="1" applyFill="1" applyBorder="1"/>
    <xf numFmtId="0" fontId="40" fillId="22" borderId="49" xfId="0" applyFont="1" applyFill="1" applyBorder="1"/>
    <xf numFmtId="0" fontId="40" fillId="20" borderId="49" xfId="0" applyFont="1" applyFill="1" applyBorder="1"/>
    <xf numFmtId="0" fontId="40" fillId="39" borderId="32" xfId="0" applyFont="1" applyFill="1" applyBorder="1"/>
    <xf numFmtId="0" fontId="40" fillId="24" borderId="32" xfId="0" applyFont="1" applyFill="1" applyBorder="1"/>
    <xf numFmtId="0" fontId="57" fillId="0" borderId="50" xfId="0" applyFont="1" applyBorder="1" applyAlignment="1">
      <alignment horizontal="left" vertical="top"/>
    </xf>
    <xf numFmtId="0" fontId="19" fillId="5" borderId="79" xfId="0" applyFont="1" applyFill="1" applyBorder="1" applyAlignment="1">
      <alignment horizontal="center" vertical="center" wrapText="1"/>
    </xf>
    <xf numFmtId="0" fontId="19" fillId="5" borderId="87" xfId="0" applyFont="1" applyFill="1" applyBorder="1" applyAlignment="1">
      <alignment horizontal="center" vertical="center" wrapText="1"/>
    </xf>
    <xf numFmtId="0" fontId="19" fillId="5" borderId="80" xfId="0" applyFont="1" applyFill="1" applyBorder="1" applyAlignment="1">
      <alignment horizontal="center" vertical="center" wrapText="1"/>
    </xf>
    <xf numFmtId="0" fontId="19" fillId="0" borderId="88" xfId="0" applyFont="1" applyBorder="1" applyAlignment="1">
      <alignment horizontal="center" vertical="center" wrapText="1"/>
    </xf>
    <xf numFmtId="0" fontId="18" fillId="0" borderId="89" xfId="0" applyFont="1" applyBorder="1" applyAlignment="1">
      <alignment horizontal="center" vertical="center" wrapText="1"/>
    </xf>
    <xf numFmtId="0" fontId="60" fillId="13" borderId="0" xfId="0" applyFont="1" applyFill="1" applyProtection="1">
      <protection locked="0"/>
    </xf>
    <xf numFmtId="0" fontId="1" fillId="0" borderId="0" xfId="0" applyFont="1" applyAlignment="1">
      <alignment vertical="center"/>
    </xf>
    <xf numFmtId="0" fontId="5" fillId="0" borderId="20" xfId="0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 wrapText="1"/>
    </xf>
    <xf numFmtId="0" fontId="18" fillId="0" borderId="90" xfId="0" applyFont="1" applyBorder="1" applyAlignment="1">
      <alignment vertical="center" wrapText="1"/>
    </xf>
    <xf numFmtId="0" fontId="6" fillId="0" borderId="0" xfId="0" applyFont="1" applyAlignment="1">
      <alignment horizontal="center"/>
    </xf>
    <xf numFmtId="0" fontId="9" fillId="0" borderId="3" xfId="0" applyFont="1" applyBorder="1" applyAlignment="1" applyProtection="1">
      <alignment horizontal="center"/>
      <protection locked="0"/>
    </xf>
    <xf numFmtId="1" fontId="5" fillId="0" borderId="3" xfId="0" applyNumberFormat="1" applyFont="1" applyBorder="1" applyAlignment="1">
      <alignment horizontal="center"/>
    </xf>
    <xf numFmtId="0" fontId="1" fillId="0" borderId="32" xfId="0" applyFont="1" applyBorder="1" applyAlignment="1" applyProtection="1">
      <alignment horizontal="left" vertical="center"/>
      <protection locked="0"/>
    </xf>
    <xf numFmtId="0" fontId="1" fillId="0" borderId="39" xfId="0" applyFont="1" applyBorder="1" applyAlignment="1">
      <alignment horizontal="left" vertical="center"/>
    </xf>
    <xf numFmtId="0" fontId="33" fillId="0" borderId="39" xfId="0" applyFont="1" applyBorder="1" applyAlignment="1">
      <alignment horizontal="left" vertical="center"/>
    </xf>
    <xf numFmtId="0" fontId="1" fillId="0" borderId="33" xfId="0" applyFont="1" applyBorder="1" applyAlignment="1" applyProtection="1">
      <alignment horizontal="left"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61" fillId="0" borderId="0" xfId="0" applyFont="1" applyProtection="1"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63" fillId="45" borderId="26" xfId="0" applyFont="1" applyFill="1" applyBorder="1" applyAlignment="1">
      <alignment horizontal="center" vertical="center"/>
    </xf>
    <xf numFmtId="0" fontId="63" fillId="45" borderId="7" xfId="0" applyFont="1" applyFill="1" applyBorder="1" applyAlignment="1">
      <alignment horizontal="center" vertical="center"/>
    </xf>
    <xf numFmtId="165" fontId="61" fillId="45" borderId="29" xfId="0" applyNumberFormat="1" applyFont="1" applyFill="1" applyBorder="1" applyAlignment="1">
      <alignment horizontal="center" vertical="center"/>
    </xf>
    <xf numFmtId="0" fontId="1" fillId="0" borderId="11" xfId="0" applyFont="1" applyBorder="1" applyAlignment="1" applyProtection="1">
      <alignment horizontal="center" vertical="center"/>
      <protection locked="0"/>
    </xf>
    <xf numFmtId="0" fontId="5" fillId="3" borderId="22" xfId="0" applyFont="1" applyFill="1" applyBorder="1" applyAlignment="1" applyProtection="1">
      <alignment horizontal="center" vertical="center" wrapText="1"/>
      <protection locked="0"/>
    </xf>
    <xf numFmtId="0" fontId="5" fillId="3" borderId="29" xfId="0" applyFont="1" applyFill="1" applyBorder="1" applyAlignment="1" applyProtection="1">
      <alignment horizontal="center" vertical="center" wrapText="1"/>
      <protection locked="0"/>
    </xf>
    <xf numFmtId="0" fontId="54" fillId="0" borderId="0" xfId="0" applyFont="1" applyAlignment="1">
      <alignment horizontal="left" vertical="center"/>
    </xf>
    <xf numFmtId="0" fontId="64" fillId="0" borderId="0" xfId="0" applyFont="1" applyAlignment="1" applyProtection="1">
      <alignment horizontal="center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34" fillId="0" borderId="39" xfId="0" applyFont="1" applyBorder="1" applyAlignment="1" applyProtection="1">
      <alignment horizontal="left" vertical="center"/>
      <protection locked="0"/>
    </xf>
    <xf numFmtId="14" fontId="6" fillId="7" borderId="0" xfId="1" applyNumberFormat="1" applyFill="1" applyAlignment="1">
      <alignment horizontal="center"/>
    </xf>
    <xf numFmtId="14" fontId="6" fillId="14" borderId="0" xfId="1" applyNumberFormat="1" applyFill="1" applyAlignment="1">
      <alignment horizontal="center"/>
    </xf>
    <xf numFmtId="14" fontId="6" fillId="15" borderId="0" xfId="1" applyNumberFormat="1" applyFill="1" applyAlignment="1">
      <alignment horizontal="center"/>
    </xf>
    <xf numFmtId="14" fontId="6" fillId="16" borderId="0" xfId="1" applyNumberFormat="1" applyFill="1" applyAlignment="1">
      <alignment horizontal="center"/>
    </xf>
    <xf numFmtId="14" fontId="6" fillId="17" borderId="0" xfId="1" applyNumberFormat="1" applyFill="1" applyAlignment="1">
      <alignment horizontal="center"/>
    </xf>
    <xf numFmtId="14" fontId="6" fillId="18" borderId="0" xfId="1" applyNumberFormat="1" applyFill="1" applyAlignment="1">
      <alignment horizontal="center"/>
    </xf>
    <xf numFmtId="14" fontId="6" fillId="19" borderId="0" xfId="1" applyNumberFormat="1" applyFill="1" applyAlignment="1">
      <alignment horizontal="center"/>
    </xf>
    <xf numFmtId="14" fontId="6" fillId="20" borderId="0" xfId="1" applyNumberFormat="1" applyFill="1" applyAlignment="1">
      <alignment horizontal="center"/>
    </xf>
    <xf numFmtId="0" fontId="26" fillId="2" borderId="0" xfId="1" applyFont="1" applyFill="1" applyAlignment="1">
      <alignment horizontal="center" vertical="center" wrapText="1"/>
    </xf>
    <xf numFmtId="0" fontId="6" fillId="0" borderId="0" xfId="1" applyAlignment="1">
      <alignment horizontal="center" vertical="center" wrapText="1"/>
    </xf>
    <xf numFmtId="49" fontId="6" fillId="7" borderId="0" xfId="1" applyNumberFormat="1" applyFill="1" applyAlignment="1">
      <alignment horizontal="center" vertical="center"/>
    </xf>
    <xf numFmtId="49" fontId="6" fillId="14" borderId="0" xfId="1" applyNumberFormat="1" applyFill="1" applyAlignment="1">
      <alignment horizontal="center" vertical="center"/>
    </xf>
    <xf numFmtId="49" fontId="6" fillId="15" borderId="0" xfId="1" applyNumberFormat="1" applyFill="1" applyAlignment="1">
      <alignment horizontal="center" vertical="center"/>
    </xf>
    <xf numFmtId="49" fontId="6" fillId="16" borderId="0" xfId="1" applyNumberFormat="1" applyFill="1" applyAlignment="1">
      <alignment horizontal="center" vertical="center"/>
    </xf>
    <xf numFmtId="49" fontId="6" fillId="17" borderId="0" xfId="1" applyNumberFormat="1" applyFill="1" applyAlignment="1">
      <alignment horizontal="center" vertical="center"/>
    </xf>
    <xf numFmtId="49" fontId="6" fillId="18" borderId="0" xfId="1" applyNumberFormat="1" applyFill="1" applyAlignment="1">
      <alignment horizontal="center" vertical="center"/>
    </xf>
    <xf numFmtId="49" fontId="6" fillId="19" borderId="0" xfId="1" applyNumberFormat="1" applyFill="1" applyAlignment="1">
      <alignment horizontal="center" vertical="center"/>
    </xf>
    <xf numFmtId="49" fontId="6" fillId="20" borderId="0" xfId="1" applyNumberFormat="1" applyFill="1" applyAlignment="1">
      <alignment horizontal="center" vertical="center"/>
    </xf>
    <xf numFmtId="0" fontId="19" fillId="0" borderId="91" xfId="0" applyFont="1" applyBorder="1" applyAlignment="1">
      <alignment vertical="center" wrapText="1"/>
    </xf>
    <xf numFmtId="0" fontId="1" fillId="0" borderId="35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33" fillId="0" borderId="39" xfId="0" applyFont="1" applyBorder="1" applyAlignment="1" applyProtection="1">
      <alignment horizontal="left" vertical="center"/>
      <protection locked="0"/>
    </xf>
    <xf numFmtId="0" fontId="33" fillId="0" borderId="44" xfId="0" applyFont="1" applyBorder="1" applyAlignment="1" applyProtection="1">
      <alignment horizontal="left" vertical="center"/>
      <protection locked="0"/>
    </xf>
    <xf numFmtId="0" fontId="65" fillId="46" borderId="26" xfId="0" applyFont="1" applyFill="1" applyBorder="1" applyAlignment="1">
      <alignment horizontal="center" vertical="center" wrapText="1"/>
    </xf>
    <xf numFmtId="0" fontId="65" fillId="46" borderId="7" xfId="0" applyFont="1" applyFill="1" applyBorder="1" applyAlignment="1">
      <alignment horizontal="center" vertical="center" wrapText="1"/>
    </xf>
    <xf numFmtId="0" fontId="65" fillId="46" borderId="7" xfId="0" applyFont="1" applyFill="1" applyBorder="1" applyAlignment="1" applyProtection="1">
      <alignment horizontal="center" vertical="center" wrapText="1"/>
      <protection locked="0"/>
    </xf>
    <xf numFmtId="0" fontId="65" fillId="46" borderId="29" xfId="0" applyFont="1" applyFill="1" applyBorder="1" applyAlignment="1" applyProtection="1">
      <alignment horizontal="center" vertical="center" wrapText="1"/>
      <protection locked="0"/>
    </xf>
    <xf numFmtId="0" fontId="66" fillId="46" borderId="29" xfId="0" applyFont="1" applyFill="1" applyBorder="1" applyProtection="1">
      <protection locked="0"/>
    </xf>
    <xf numFmtId="49" fontId="18" fillId="0" borderId="0" xfId="0" applyNumberFormat="1" applyFont="1" applyAlignment="1">
      <alignment horizontal="left"/>
    </xf>
    <xf numFmtId="0" fontId="19" fillId="0" borderId="0" xfId="0" applyFont="1" applyAlignment="1">
      <alignment vertical="center" wrapText="1"/>
    </xf>
    <xf numFmtId="0" fontId="67" fillId="0" borderId="25" xfId="0" applyFont="1" applyBorder="1" applyAlignment="1">
      <alignment vertical="center" wrapText="1"/>
    </xf>
    <xf numFmtId="0" fontId="67" fillId="0" borderId="37" xfId="0" applyFont="1" applyBorder="1" applyAlignment="1">
      <alignment vertical="center" wrapText="1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8" fillId="0" borderId="21" xfId="0" applyFont="1" applyBorder="1" applyAlignment="1" applyProtection="1">
      <alignment horizontal="center" vertical="center"/>
      <protection locked="0"/>
    </xf>
    <xf numFmtId="0" fontId="13" fillId="0" borderId="37" xfId="0" applyFont="1" applyBorder="1" applyAlignment="1" applyProtection="1">
      <alignment horizontal="center" vertical="center"/>
      <protection locked="0"/>
    </xf>
    <xf numFmtId="165" fontId="0" fillId="38" borderId="0" xfId="0" applyNumberFormat="1" applyFill="1" applyAlignment="1">
      <alignment horizontal="center" vertical="center"/>
    </xf>
    <xf numFmtId="165" fontId="0" fillId="38" borderId="21" xfId="0" applyNumberFormat="1" applyFill="1" applyBorder="1" applyAlignment="1">
      <alignment horizontal="center" vertical="center"/>
    </xf>
    <xf numFmtId="0" fontId="53" fillId="38" borderId="21" xfId="0" applyFont="1" applyFill="1" applyBorder="1" applyAlignment="1">
      <alignment horizontal="right" vertical="center" wrapText="1"/>
    </xf>
    <xf numFmtId="0" fontId="63" fillId="45" borderId="38" xfId="0" applyFont="1" applyFill="1" applyBorder="1" applyAlignment="1">
      <alignment horizontal="center" vertical="center"/>
    </xf>
    <xf numFmtId="166" fontId="6" fillId="9" borderId="0" xfId="1" applyNumberFormat="1" applyFill="1"/>
    <xf numFmtId="0" fontId="6" fillId="9" borderId="0" xfId="1" applyFill="1"/>
    <xf numFmtId="0" fontId="6" fillId="9" borderId="0" xfId="1" applyFill="1" applyAlignment="1">
      <alignment horizontal="center"/>
    </xf>
    <xf numFmtId="14" fontId="6" fillId="9" borderId="0" xfId="1" applyNumberFormat="1" applyFill="1"/>
    <xf numFmtId="49" fontId="6" fillId="15" borderId="0" xfId="1" applyNumberFormat="1" applyFill="1" applyAlignment="1">
      <alignment horizontal="center"/>
    </xf>
    <xf numFmtId="49" fontId="6" fillId="9" borderId="0" xfId="1" applyNumberFormat="1" applyFill="1" applyAlignment="1">
      <alignment horizontal="center"/>
    </xf>
    <xf numFmtId="49" fontId="6" fillId="17" borderId="0" xfId="1" applyNumberFormat="1" applyFill="1" applyAlignment="1">
      <alignment horizontal="center"/>
    </xf>
    <xf numFmtId="49" fontId="6" fillId="18" borderId="0" xfId="1" applyNumberFormat="1" applyFill="1" applyAlignment="1">
      <alignment horizontal="center"/>
    </xf>
    <xf numFmtId="49" fontId="6" fillId="19" borderId="0" xfId="1" applyNumberFormat="1" applyFill="1" applyAlignment="1">
      <alignment horizontal="center"/>
    </xf>
    <xf numFmtId="49" fontId="6" fillId="20" borderId="0" xfId="1" applyNumberFormat="1" applyFill="1" applyAlignment="1">
      <alignment horizontal="center"/>
    </xf>
    <xf numFmtId="49" fontId="6" fillId="7" borderId="0" xfId="1" quotePrefix="1" applyNumberFormat="1" applyFill="1" applyAlignment="1">
      <alignment horizontal="center"/>
    </xf>
    <xf numFmtId="49" fontId="6" fillId="14" borderId="0" xfId="1" quotePrefix="1" applyNumberFormat="1" applyFill="1" applyAlignment="1">
      <alignment horizontal="center"/>
    </xf>
    <xf numFmtId="0" fontId="6" fillId="7" borderId="0" xfId="1" applyFill="1" applyAlignment="1">
      <alignment horizontal="center" vertical="center"/>
    </xf>
    <xf numFmtId="0" fontId="6" fillId="14" borderId="0" xfId="1" applyFill="1" applyAlignment="1">
      <alignment horizontal="center" vertical="center"/>
    </xf>
    <xf numFmtId="0" fontId="6" fillId="15" borderId="0" xfId="1" applyFill="1" applyAlignment="1">
      <alignment horizontal="center" vertical="center"/>
    </xf>
    <xf numFmtId="0" fontId="6" fillId="16" borderId="0" xfId="1" applyFill="1" applyAlignment="1">
      <alignment horizontal="center" vertical="center"/>
    </xf>
    <xf numFmtId="0" fontId="6" fillId="17" borderId="0" xfId="1" applyFill="1" applyAlignment="1">
      <alignment horizontal="center" vertical="center"/>
    </xf>
    <xf numFmtId="0" fontId="6" fillId="18" borderId="0" xfId="1" applyFill="1" applyAlignment="1">
      <alignment horizontal="center" vertical="center"/>
    </xf>
    <xf numFmtId="0" fontId="6" fillId="19" borderId="0" xfId="1" applyFill="1" applyAlignment="1">
      <alignment horizontal="center" vertical="center"/>
    </xf>
    <xf numFmtId="0" fontId="6" fillId="20" borderId="0" xfId="1" applyFill="1" applyAlignment="1">
      <alignment horizontal="center" vertical="center"/>
    </xf>
    <xf numFmtId="0" fontId="1" fillId="0" borderId="51" xfId="0" applyFont="1" applyBorder="1" applyAlignment="1" applyProtection="1">
      <alignment horizontal="center" vertical="center"/>
      <protection locked="0"/>
    </xf>
    <xf numFmtId="0" fontId="68" fillId="0" borderId="9" xfId="0" applyFont="1" applyBorder="1" applyAlignment="1" applyProtection="1">
      <alignment horizontal="center"/>
      <protection locked="0"/>
    </xf>
    <xf numFmtId="0" fontId="2" fillId="3" borderId="26" xfId="0" applyFont="1" applyFill="1" applyBorder="1" applyAlignment="1" applyProtection="1">
      <alignment horizontal="center" vertical="center"/>
      <protection locked="0"/>
    </xf>
    <xf numFmtId="0" fontId="2" fillId="3" borderId="42" xfId="0" applyFont="1" applyFill="1" applyBorder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center" vertical="center" wrapText="1"/>
    </xf>
    <xf numFmtId="164" fontId="1" fillId="0" borderId="10" xfId="0" applyNumberFormat="1" applyFont="1" applyBorder="1" applyAlignment="1" applyProtection="1">
      <alignment horizontal="center" vertical="center"/>
      <protection locked="0" hidden="1"/>
    </xf>
    <xf numFmtId="0" fontId="35" fillId="0" borderId="39" xfId="0" applyFont="1" applyBorder="1" applyAlignment="1" applyProtection="1">
      <alignment horizontal="left" vertical="center"/>
      <protection locked="0" hidden="1"/>
    </xf>
    <xf numFmtId="165" fontId="65" fillId="45" borderId="0" xfId="0" applyNumberFormat="1" applyFont="1" applyFill="1" applyAlignment="1" applyProtection="1">
      <alignment horizontal="center" vertical="center"/>
      <protection locked="0" hidden="1"/>
    </xf>
    <xf numFmtId="49" fontId="6" fillId="7" borderId="0" xfId="1" applyNumberFormat="1" applyFill="1" applyAlignment="1">
      <alignment horizontal="left" vertical="center"/>
    </xf>
    <xf numFmtId="49" fontId="6" fillId="7" borderId="0" xfId="1" applyNumberFormat="1" applyFill="1"/>
    <xf numFmtId="49" fontId="6" fillId="14" borderId="0" xfId="1" applyNumberFormat="1" applyFill="1"/>
    <xf numFmtId="49" fontId="6" fillId="15" borderId="0" xfId="1" applyNumberFormat="1" applyFill="1"/>
    <xf numFmtId="49" fontId="6" fillId="9" borderId="0" xfId="1" applyNumberFormat="1" applyFill="1"/>
    <xf numFmtId="49" fontId="6" fillId="17" borderId="0" xfId="1" applyNumberFormat="1" applyFill="1"/>
    <xf numFmtId="49" fontId="6" fillId="18" borderId="0" xfId="1" applyNumberFormat="1" applyFill="1"/>
    <xf numFmtId="49" fontId="6" fillId="19" borderId="0" xfId="1" applyNumberFormat="1" applyFill="1"/>
    <xf numFmtId="49" fontId="6" fillId="20" borderId="0" xfId="1" applyNumberFormat="1" applyFill="1"/>
    <xf numFmtId="0" fontId="5" fillId="9" borderId="52" xfId="0" applyFont="1" applyFill="1" applyBorder="1" applyAlignment="1" applyProtection="1">
      <alignment vertical="center" wrapText="1"/>
      <protection locked="0" hidden="1"/>
    </xf>
    <xf numFmtId="0" fontId="8" fillId="47" borderId="3" xfId="0" applyFont="1" applyFill="1" applyBorder="1" applyAlignment="1">
      <alignment horizontal="center" vertical="center"/>
    </xf>
    <xf numFmtId="0" fontId="1" fillId="0" borderId="15" xfId="0" applyFont="1" applyBorder="1" applyAlignment="1" applyProtection="1">
      <alignment horizontal="center" vertical="center"/>
      <protection locked="0" hidden="1"/>
    </xf>
    <xf numFmtId="49" fontId="69" fillId="0" borderId="53" xfId="0" applyNumberFormat="1" applyFont="1" applyBorder="1" applyAlignment="1">
      <alignment vertical="center"/>
    </xf>
    <xf numFmtId="0" fontId="70" fillId="0" borderId="54" xfId="0" applyFont="1" applyBorder="1" applyAlignment="1">
      <alignment vertical="center"/>
    </xf>
    <xf numFmtId="0" fontId="70" fillId="0" borderId="0" xfId="0" applyFont="1" applyAlignment="1">
      <alignment wrapText="1"/>
    </xf>
    <xf numFmtId="0" fontId="69" fillId="0" borderId="0" xfId="0" applyFont="1"/>
    <xf numFmtId="0" fontId="70" fillId="0" borderId="54" xfId="0" applyFont="1" applyBorder="1" applyAlignment="1">
      <alignment horizontal="left" vertical="center"/>
    </xf>
    <xf numFmtId="0" fontId="71" fillId="0" borderId="37" xfId="0" applyFont="1" applyBorder="1" applyAlignment="1" applyProtection="1">
      <alignment horizontal="center" vertical="center"/>
      <protection locked="0"/>
    </xf>
    <xf numFmtId="0" fontId="71" fillId="0" borderId="0" xfId="0" applyFont="1" applyAlignment="1" applyProtection="1">
      <alignment horizontal="center" vertical="center"/>
      <protection locked="0"/>
    </xf>
    <xf numFmtId="0" fontId="71" fillId="0" borderId="32" xfId="0" applyFont="1" applyBorder="1" applyAlignment="1" applyProtection="1">
      <alignment horizontal="center" vertical="center"/>
      <protection locked="0"/>
    </xf>
    <xf numFmtId="0" fontId="72" fillId="0" borderId="37" xfId="0" applyFont="1" applyBorder="1" applyAlignment="1">
      <alignment vertical="center" wrapText="1"/>
    </xf>
    <xf numFmtId="165" fontId="73" fillId="0" borderId="37" xfId="0" applyNumberFormat="1" applyFont="1" applyBorder="1" applyAlignment="1">
      <alignment horizontal="center" vertical="center"/>
    </xf>
    <xf numFmtId="0" fontId="6" fillId="0" borderId="0" xfId="0" applyFont="1"/>
    <xf numFmtId="0" fontId="81" fillId="0" borderId="54" xfId="0" applyFont="1" applyBorder="1" applyAlignment="1">
      <alignment vertical="center"/>
    </xf>
    <xf numFmtId="0" fontId="81" fillId="0" borderId="15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56" fillId="13" borderId="0" xfId="0" applyFont="1" applyFill="1" applyAlignment="1">
      <alignment horizontal="center"/>
    </xf>
    <xf numFmtId="0" fontId="74" fillId="13" borderId="0" xfId="0" applyFont="1" applyFill="1" applyAlignment="1">
      <alignment horizontal="center" vertical="top"/>
    </xf>
    <xf numFmtId="0" fontId="50" fillId="46" borderId="24" xfId="0" applyFont="1" applyFill="1" applyBorder="1" applyAlignment="1">
      <alignment horizontal="center"/>
    </xf>
    <xf numFmtId="0" fontId="50" fillId="46" borderId="42" xfId="0" applyFont="1" applyFill="1" applyBorder="1" applyAlignment="1">
      <alignment horizontal="center"/>
    </xf>
    <xf numFmtId="0" fontId="50" fillId="46" borderId="43" xfId="0" applyFont="1" applyFill="1" applyBorder="1" applyAlignment="1">
      <alignment horizontal="center"/>
    </xf>
    <xf numFmtId="0" fontId="75" fillId="16" borderId="24" xfId="0" applyFont="1" applyFill="1" applyBorder="1" applyAlignment="1" applyProtection="1">
      <alignment horizontal="center" vertical="center" wrapText="1"/>
      <protection hidden="1"/>
    </xf>
    <xf numFmtId="0" fontId="75" fillId="16" borderId="42" xfId="0" applyFont="1" applyFill="1" applyBorder="1" applyAlignment="1" applyProtection="1">
      <alignment horizontal="center" vertical="center" wrapText="1"/>
      <protection hidden="1"/>
    </xf>
    <xf numFmtId="0" fontId="75" fillId="16" borderId="43" xfId="0" applyFont="1" applyFill="1" applyBorder="1" applyAlignment="1" applyProtection="1">
      <alignment horizontal="center" vertical="center" wrapText="1"/>
      <protection hidden="1"/>
    </xf>
    <xf numFmtId="49" fontId="51" fillId="16" borderId="24" xfId="0" quotePrefix="1" applyNumberFormat="1" applyFont="1" applyFill="1" applyBorder="1" applyAlignment="1" applyProtection="1">
      <alignment horizontal="center" vertical="center"/>
      <protection locked="0"/>
    </xf>
    <xf numFmtId="49" fontId="51" fillId="16" borderId="42" xfId="0" applyNumberFormat="1" applyFont="1" applyFill="1" applyBorder="1" applyAlignment="1" applyProtection="1">
      <alignment horizontal="center" vertical="center"/>
      <protection locked="0"/>
    </xf>
    <xf numFmtId="49" fontId="51" fillId="16" borderId="43" xfId="0" applyNumberFormat="1" applyFont="1" applyFill="1" applyBorder="1" applyAlignment="1" applyProtection="1">
      <alignment horizontal="center" vertical="center"/>
      <protection locked="0"/>
    </xf>
    <xf numFmtId="0" fontId="51" fillId="16" borderId="24" xfId="0" applyFont="1" applyFill="1" applyBorder="1" applyAlignment="1" applyProtection="1">
      <alignment horizontal="center" vertical="center"/>
      <protection hidden="1"/>
    </xf>
    <xf numFmtId="0" fontId="51" fillId="16" borderId="42" xfId="0" applyFont="1" applyFill="1" applyBorder="1" applyAlignment="1" applyProtection="1">
      <alignment horizontal="center" vertical="center"/>
      <protection hidden="1"/>
    </xf>
    <xf numFmtId="0" fontId="51" fillId="16" borderId="43" xfId="0" applyFont="1" applyFill="1" applyBorder="1" applyAlignment="1" applyProtection="1">
      <alignment horizontal="center" vertical="center"/>
      <protection hidden="1"/>
    </xf>
    <xf numFmtId="0" fontId="76" fillId="16" borderId="24" xfId="0" applyFont="1" applyFill="1" applyBorder="1" applyAlignment="1" applyProtection="1">
      <alignment horizontal="center" vertical="center"/>
      <protection hidden="1"/>
    </xf>
    <xf numFmtId="0" fontId="76" fillId="16" borderId="42" xfId="0" applyFont="1" applyFill="1" applyBorder="1" applyAlignment="1" applyProtection="1">
      <alignment horizontal="center" vertical="center"/>
      <protection hidden="1"/>
    </xf>
    <xf numFmtId="0" fontId="76" fillId="16" borderId="43" xfId="0" applyFont="1" applyFill="1" applyBorder="1" applyAlignment="1" applyProtection="1">
      <alignment horizontal="center" vertical="center"/>
      <protection hidden="1"/>
    </xf>
    <xf numFmtId="0" fontId="76" fillId="16" borderId="24" xfId="0" applyFont="1" applyFill="1" applyBorder="1" applyAlignment="1" applyProtection="1">
      <alignment horizontal="center" vertical="center"/>
      <protection locked="0"/>
    </xf>
    <xf numFmtId="0" fontId="76" fillId="16" borderId="42" xfId="0" applyFont="1" applyFill="1" applyBorder="1" applyAlignment="1" applyProtection="1">
      <alignment horizontal="center" vertical="center"/>
      <protection locked="0"/>
    </xf>
    <xf numFmtId="0" fontId="76" fillId="16" borderId="43" xfId="0" applyFont="1" applyFill="1" applyBorder="1" applyAlignment="1" applyProtection="1">
      <alignment horizontal="center" vertical="center"/>
      <protection locked="0"/>
    </xf>
    <xf numFmtId="0" fontId="50" fillId="0" borderId="0" xfId="0" applyFont="1" applyAlignment="1">
      <alignment horizontal="center"/>
    </xf>
    <xf numFmtId="0" fontId="77" fillId="46" borderId="24" xfId="0" applyFont="1" applyFill="1" applyBorder="1" applyAlignment="1">
      <alignment horizontal="center"/>
    </xf>
    <xf numFmtId="0" fontId="77" fillId="46" borderId="42" xfId="0" applyFont="1" applyFill="1" applyBorder="1" applyAlignment="1">
      <alignment horizontal="center"/>
    </xf>
    <xf numFmtId="0" fontId="77" fillId="46" borderId="43" xfId="0" applyFont="1" applyFill="1" applyBorder="1" applyAlignment="1">
      <alignment horizontal="center"/>
    </xf>
    <xf numFmtId="0" fontId="76" fillId="0" borderId="0" xfId="0" applyFont="1" applyAlignment="1" applyProtection="1">
      <alignment horizontal="center" vertical="center"/>
      <protection locked="0"/>
    </xf>
    <xf numFmtId="0" fontId="33" fillId="0" borderId="15" xfId="0" applyFont="1" applyBorder="1" applyAlignment="1">
      <alignment horizontal="left" vertical="center"/>
    </xf>
    <xf numFmtId="0" fontId="33" fillId="0" borderId="55" xfId="0" applyFont="1" applyBorder="1" applyAlignment="1">
      <alignment horizontal="left" vertical="center"/>
    </xf>
    <xf numFmtId="0" fontId="33" fillId="0" borderId="51" xfId="0" applyFont="1" applyBorder="1" applyAlignment="1">
      <alignment horizontal="left" vertical="center"/>
    </xf>
    <xf numFmtId="0" fontId="33" fillId="0" borderId="56" xfId="0" applyFont="1" applyBorder="1" applyAlignment="1">
      <alignment horizontal="left" vertical="center"/>
    </xf>
    <xf numFmtId="0" fontId="1" fillId="0" borderId="9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1" fillId="0" borderId="63" xfId="0" applyFont="1" applyBorder="1" applyAlignment="1" applyProtection="1">
      <alignment horizontal="left" vertical="center"/>
      <protection locked="0"/>
    </xf>
    <xf numFmtId="0" fontId="1" fillId="0" borderId="64" xfId="0" applyFont="1" applyBorder="1" applyAlignment="1" applyProtection="1">
      <alignment horizontal="left" vertical="center"/>
      <protection locked="0"/>
    </xf>
    <xf numFmtId="0" fontId="1" fillId="0" borderId="65" xfId="0" applyFont="1" applyBorder="1" applyAlignment="1" applyProtection="1">
      <alignment horizontal="left" vertical="center"/>
      <protection locked="0"/>
    </xf>
    <xf numFmtId="0" fontId="34" fillId="3" borderId="62" xfId="0" applyFont="1" applyFill="1" applyBorder="1" applyAlignment="1">
      <alignment horizontal="center" vertical="center" wrapText="1"/>
    </xf>
    <xf numFmtId="0" fontId="34" fillId="3" borderId="36" xfId="0" applyFont="1" applyFill="1" applyBorder="1" applyAlignment="1">
      <alignment horizontal="center" vertical="center" wrapText="1"/>
    </xf>
    <xf numFmtId="0" fontId="34" fillId="3" borderId="53" xfId="0" applyFont="1" applyFill="1" applyBorder="1" applyAlignment="1">
      <alignment horizontal="center" vertical="center" wrapText="1"/>
    </xf>
    <xf numFmtId="0" fontId="38" fillId="3" borderId="53" xfId="0" applyFont="1" applyFill="1" applyBorder="1" applyAlignment="1" applyProtection="1">
      <alignment horizontal="center" vertical="center"/>
      <protection locked="0"/>
    </xf>
    <xf numFmtId="0" fontId="38" fillId="3" borderId="13" xfId="0" applyFont="1" applyFill="1" applyBorder="1" applyAlignment="1" applyProtection="1">
      <alignment horizontal="center" vertical="center"/>
      <protection locked="0"/>
    </xf>
    <xf numFmtId="0" fontId="38" fillId="3" borderId="47" xfId="0" applyFont="1" applyFill="1" applyBorder="1" applyAlignment="1" applyProtection="1">
      <alignment horizontal="center" vertical="center"/>
      <protection locked="0"/>
    </xf>
    <xf numFmtId="0" fontId="38" fillId="3" borderId="11" xfId="0" applyFont="1" applyFill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 wrapText="1"/>
      <protection locked="0"/>
    </xf>
    <xf numFmtId="0" fontId="2" fillId="0" borderId="66" xfId="0" applyFont="1" applyBorder="1" applyAlignment="1" applyProtection="1">
      <alignment horizontal="left" vertical="center" wrapText="1"/>
      <protection locked="0"/>
    </xf>
    <xf numFmtId="0" fontId="2" fillId="0" borderId="67" xfId="0" applyFont="1" applyBorder="1" applyAlignment="1" applyProtection="1">
      <alignment horizontal="left" vertical="center"/>
      <protection locked="0"/>
    </xf>
    <xf numFmtId="0" fontId="2" fillId="0" borderId="68" xfId="0" applyFont="1" applyBorder="1" applyAlignment="1" applyProtection="1">
      <alignment horizontal="left" vertical="center"/>
      <protection locked="0"/>
    </xf>
    <xf numFmtId="0" fontId="2" fillId="0" borderId="69" xfId="0" applyFont="1" applyBorder="1" applyAlignment="1" applyProtection="1">
      <alignment horizontal="left" vertical="center"/>
      <protection locked="0"/>
    </xf>
    <xf numFmtId="0" fontId="2" fillId="0" borderId="70" xfId="0" applyFont="1" applyBorder="1" applyAlignment="1" applyProtection="1">
      <alignment horizontal="left" vertical="center"/>
      <protection locked="0"/>
    </xf>
    <xf numFmtId="0" fontId="2" fillId="0" borderId="71" xfId="0" applyFont="1" applyBorder="1" applyAlignment="1" applyProtection="1">
      <alignment horizontal="left" vertical="center"/>
      <protection locked="0"/>
    </xf>
    <xf numFmtId="0" fontId="1" fillId="0" borderId="15" xfId="0" applyFont="1" applyBorder="1" applyAlignment="1" applyProtection="1">
      <alignment horizontal="left" vertical="center"/>
      <protection locked="0" hidden="1"/>
    </xf>
    <xf numFmtId="0" fontId="1" fillId="0" borderId="57" xfId="0" applyFont="1" applyBorder="1" applyAlignment="1" applyProtection="1">
      <alignment horizontal="left" vertical="center"/>
      <protection locked="0"/>
    </xf>
    <xf numFmtId="0" fontId="1" fillId="0" borderId="58" xfId="0" applyFont="1" applyBorder="1" applyAlignment="1" applyProtection="1">
      <alignment horizontal="left" vertical="center"/>
      <protection locked="0"/>
    </xf>
    <xf numFmtId="0" fontId="1" fillId="0" borderId="59" xfId="0" applyFont="1" applyBorder="1" applyAlignment="1" applyProtection="1">
      <alignment horizontal="left" vertical="center"/>
      <protection locked="0"/>
    </xf>
    <xf numFmtId="0" fontId="38" fillId="3" borderId="25" xfId="0" applyFont="1" applyFill="1" applyBorder="1" applyAlignment="1" applyProtection="1">
      <alignment horizontal="center" vertical="center"/>
      <protection locked="0"/>
    </xf>
    <xf numFmtId="0" fontId="38" fillId="3" borderId="21" xfId="0" applyFont="1" applyFill="1" applyBorder="1" applyAlignment="1" applyProtection="1">
      <alignment horizontal="center" vertical="center"/>
      <protection locked="0"/>
    </xf>
    <xf numFmtId="0" fontId="38" fillId="3" borderId="22" xfId="0" applyFont="1" applyFill="1" applyBorder="1" applyAlignment="1" applyProtection="1">
      <alignment horizontal="center" vertical="center"/>
      <protection locked="0"/>
    </xf>
    <xf numFmtId="0" fontId="38" fillId="3" borderId="12" xfId="0" applyFont="1" applyFill="1" applyBorder="1" applyAlignment="1" applyProtection="1">
      <alignment horizontal="center" vertical="center"/>
      <protection locked="0"/>
    </xf>
    <xf numFmtId="0" fontId="5" fillId="3" borderId="62" xfId="0" applyFont="1" applyFill="1" applyBorder="1" applyAlignment="1">
      <alignment horizontal="center" vertical="center" wrapText="1"/>
    </xf>
    <xf numFmtId="0" fontId="5" fillId="3" borderId="53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5" fillId="3" borderId="62" xfId="0" applyFont="1" applyFill="1" applyBorder="1" applyAlignment="1" applyProtection="1">
      <alignment horizontal="center" vertical="center" wrapText="1"/>
      <protection locked="0"/>
    </xf>
    <xf numFmtId="0" fontId="5" fillId="3" borderId="53" xfId="0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5" fillId="3" borderId="61" xfId="0" applyFont="1" applyFill="1" applyBorder="1" applyAlignment="1" applyProtection="1">
      <alignment horizontal="center" vertical="center" wrapText="1"/>
      <protection locked="0"/>
    </xf>
    <xf numFmtId="0" fontId="5" fillId="3" borderId="38" xfId="0" applyFont="1" applyFill="1" applyBorder="1" applyAlignment="1" applyProtection="1">
      <alignment horizontal="center" vertical="center" wrapText="1"/>
      <protection locked="0"/>
    </xf>
    <xf numFmtId="0" fontId="5" fillId="3" borderId="42" xfId="0" applyFont="1" applyFill="1" applyBorder="1" applyAlignment="1" applyProtection="1">
      <alignment horizontal="center" vertical="center" wrapText="1"/>
      <protection locked="0"/>
    </xf>
    <xf numFmtId="0" fontId="34" fillId="3" borderId="62" xfId="0" applyFont="1" applyFill="1" applyBorder="1" applyAlignment="1" applyProtection="1">
      <alignment horizontal="center" vertical="center" wrapText="1"/>
      <protection locked="0"/>
    </xf>
    <xf numFmtId="0" fontId="34" fillId="3" borderId="36" xfId="0" applyFont="1" applyFill="1" applyBorder="1" applyAlignment="1" applyProtection="1">
      <alignment horizontal="center" vertical="center" wrapText="1"/>
      <protection locked="0"/>
    </xf>
    <xf numFmtId="0" fontId="34" fillId="3" borderId="53" xfId="0" applyFont="1" applyFill="1" applyBorder="1" applyAlignment="1" applyProtection="1">
      <alignment horizontal="center" vertical="center" wrapText="1"/>
      <protection locked="0"/>
    </xf>
    <xf numFmtId="0" fontId="33" fillId="0" borderId="16" xfId="0" applyFont="1" applyBorder="1" applyAlignment="1">
      <alignment horizontal="left" vertical="center"/>
    </xf>
    <xf numFmtId="0" fontId="34" fillId="3" borderId="61" xfId="0" applyFont="1" applyFill="1" applyBorder="1" applyAlignment="1" applyProtection="1">
      <alignment horizontal="center" vertical="center" wrapText="1"/>
      <protection locked="0"/>
    </xf>
    <xf numFmtId="0" fontId="34" fillId="3" borderId="42" xfId="0" applyFont="1" applyFill="1" applyBorder="1" applyAlignment="1" applyProtection="1">
      <alignment horizontal="center" vertical="center" wrapText="1"/>
      <protection locked="0"/>
    </xf>
    <xf numFmtId="0" fontId="34" fillId="3" borderId="38" xfId="0" applyFont="1" applyFill="1" applyBorder="1" applyAlignment="1" applyProtection="1">
      <alignment horizontal="center" vertical="center" wrapText="1"/>
      <protection locked="0"/>
    </xf>
    <xf numFmtId="0" fontId="33" fillId="0" borderId="4" xfId="0" applyFont="1" applyBorder="1" applyAlignment="1">
      <alignment horizontal="left" vertical="center"/>
    </xf>
    <xf numFmtId="0" fontId="5" fillId="3" borderId="36" xfId="0" applyFont="1" applyFill="1" applyBorder="1" applyAlignment="1" applyProtection="1">
      <alignment horizontal="center" vertical="center" wrapText="1"/>
      <protection locked="0"/>
    </xf>
    <xf numFmtId="168" fontId="1" fillId="0" borderId="15" xfId="0" applyNumberFormat="1" applyFont="1" applyBorder="1" applyAlignment="1" applyProtection="1">
      <alignment horizontal="center" vertical="center"/>
      <protection locked="0"/>
    </xf>
    <xf numFmtId="0" fontId="33" fillId="0" borderId="50" xfId="0" applyFont="1" applyBorder="1" applyAlignment="1" applyProtection="1">
      <alignment horizontal="left" vertical="center"/>
      <protection locked="0"/>
    </xf>
    <xf numFmtId="0" fontId="33" fillId="0" borderId="45" xfId="0" applyFont="1" applyBorder="1" applyAlignment="1" applyProtection="1">
      <alignment horizontal="left" vertical="center"/>
      <protection locked="0"/>
    </xf>
    <xf numFmtId="0" fontId="33" fillId="0" borderId="60" xfId="0" applyFont="1" applyBorder="1" applyAlignment="1" applyProtection="1">
      <alignment horizontal="left" vertical="center"/>
      <protection locked="0"/>
    </xf>
    <xf numFmtId="0" fontId="2" fillId="3" borderId="61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168" fontId="1" fillId="0" borderId="55" xfId="0" applyNumberFormat="1" applyFont="1" applyBorder="1" applyAlignment="1" applyProtection="1">
      <alignment horizontal="center" vertical="center"/>
      <protection locked="0"/>
    </xf>
    <xf numFmtId="168" fontId="1" fillId="0" borderId="56" xfId="0" applyNumberFormat="1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168" fontId="1" fillId="0" borderId="50" xfId="0" applyNumberFormat="1" applyFont="1" applyBorder="1" applyAlignment="1" applyProtection="1">
      <alignment horizontal="center" vertical="center"/>
      <protection locked="0"/>
    </xf>
    <xf numFmtId="168" fontId="1" fillId="0" borderId="60" xfId="0" applyNumberFormat="1" applyFont="1" applyBorder="1" applyAlignment="1" applyProtection="1">
      <alignment horizontal="center" vertical="center"/>
      <protection locked="0"/>
    </xf>
    <xf numFmtId="0" fontId="34" fillId="3" borderId="61" xfId="0" applyFont="1" applyFill="1" applyBorder="1" applyAlignment="1" applyProtection="1">
      <alignment horizontal="center" vertical="center"/>
      <protection locked="0"/>
    </xf>
    <xf numFmtId="0" fontId="34" fillId="3" borderId="42" xfId="0" applyFont="1" applyFill="1" applyBorder="1" applyAlignment="1" applyProtection="1">
      <alignment horizontal="center" vertical="center"/>
      <protection locked="0"/>
    </xf>
    <xf numFmtId="0" fontId="34" fillId="3" borderId="38" xfId="0" applyFont="1" applyFill="1" applyBorder="1" applyAlignment="1" applyProtection="1">
      <alignment horizontal="center" vertical="center"/>
      <protection locked="0"/>
    </xf>
    <xf numFmtId="0" fontId="33" fillId="0" borderId="55" xfId="0" applyFont="1" applyBorder="1" applyAlignment="1" applyProtection="1">
      <alignment horizontal="left" vertical="center"/>
      <protection locked="0"/>
    </xf>
    <xf numFmtId="0" fontId="33" fillId="0" borderId="51" xfId="0" applyFont="1" applyBorder="1" applyAlignment="1" applyProtection="1">
      <alignment horizontal="left" vertical="center"/>
      <protection locked="0"/>
    </xf>
    <xf numFmtId="0" fontId="33" fillId="0" borderId="56" xfId="0" applyFont="1" applyBorder="1" applyAlignment="1" applyProtection="1">
      <alignment horizontal="left" vertical="center"/>
      <protection locked="0"/>
    </xf>
    <xf numFmtId="0" fontId="2" fillId="3" borderId="61" xfId="0" applyFont="1" applyFill="1" applyBorder="1" applyAlignment="1" applyProtection="1">
      <alignment horizontal="center" vertical="center"/>
      <protection locked="0"/>
    </xf>
    <xf numFmtId="0" fontId="2" fillId="3" borderId="42" xfId="0" applyFont="1" applyFill="1" applyBorder="1" applyAlignment="1" applyProtection="1">
      <alignment horizontal="center" vertical="center"/>
      <protection locked="0"/>
    </xf>
    <xf numFmtId="0" fontId="2" fillId="3" borderId="38" xfId="0" applyFont="1" applyFill="1" applyBorder="1" applyAlignment="1" applyProtection="1">
      <alignment horizontal="center" vertical="center"/>
      <protection locked="0"/>
    </xf>
    <xf numFmtId="0" fontId="2" fillId="0" borderId="57" xfId="0" applyFont="1" applyBorder="1" applyAlignment="1" applyProtection="1">
      <alignment horizontal="center" vertical="center"/>
      <protection locked="0"/>
    </xf>
    <xf numFmtId="0" fontId="2" fillId="0" borderId="58" xfId="0" applyFont="1" applyBorder="1" applyAlignment="1" applyProtection="1">
      <alignment horizontal="center" vertical="center"/>
      <protection locked="0"/>
    </xf>
    <xf numFmtId="0" fontId="2" fillId="0" borderId="59" xfId="0" applyFont="1" applyBorder="1" applyAlignment="1" applyProtection="1">
      <alignment horizontal="center" vertical="center"/>
      <protection locked="0"/>
    </xf>
    <xf numFmtId="0" fontId="5" fillId="0" borderId="25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7" fillId="0" borderId="63" xfId="0" applyFont="1" applyBorder="1" applyAlignment="1">
      <alignment horizontal="center" vertical="center" wrapText="1"/>
    </xf>
    <xf numFmtId="0" fontId="7" fillId="0" borderId="64" xfId="0" applyFont="1" applyBorder="1" applyAlignment="1">
      <alignment horizontal="center" vertical="center" wrapText="1"/>
    </xf>
    <xf numFmtId="0" fontId="7" fillId="0" borderId="74" xfId="0" applyFont="1" applyBorder="1" applyAlignment="1">
      <alignment horizontal="center" vertical="center" wrapText="1"/>
    </xf>
    <xf numFmtId="0" fontId="41" fillId="0" borderId="50" xfId="0" applyFont="1" applyBorder="1" applyAlignment="1" applyProtection="1">
      <alignment horizontal="center" vertical="center"/>
      <protection locked="0"/>
    </xf>
    <xf numFmtId="0" fontId="41" fillId="0" borderId="60" xfId="0" applyFont="1" applyBorder="1" applyAlignment="1" applyProtection="1">
      <alignment horizontal="center" vertical="center"/>
      <protection locked="0"/>
    </xf>
    <xf numFmtId="0" fontId="33" fillId="0" borderId="50" xfId="0" applyFont="1" applyBorder="1" applyAlignment="1" applyProtection="1">
      <alignment horizontal="center" vertical="center"/>
      <protection locked="0"/>
    </xf>
    <xf numFmtId="0" fontId="33" fillId="0" borderId="60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9" fillId="9" borderId="62" xfId="0" applyFont="1" applyFill="1" applyBorder="1" applyAlignment="1">
      <alignment horizontal="center" vertical="center" wrapText="1"/>
    </xf>
    <xf numFmtId="0" fontId="9" fillId="9" borderId="72" xfId="0" applyFont="1" applyFill="1" applyBorder="1" applyAlignment="1">
      <alignment horizontal="center" vertical="center" wrapText="1"/>
    </xf>
    <xf numFmtId="0" fontId="9" fillId="9" borderId="14" xfId="0" applyFont="1" applyFill="1" applyBorder="1" applyAlignment="1">
      <alignment horizontal="center" vertical="center" wrapText="1"/>
    </xf>
    <xf numFmtId="0" fontId="9" fillId="9" borderId="47" xfId="0" applyFont="1" applyFill="1" applyBorder="1" applyAlignment="1">
      <alignment horizontal="center" vertical="center" wrapText="1"/>
    </xf>
    <xf numFmtId="0" fontId="9" fillId="9" borderId="73" xfId="0" applyFont="1" applyFill="1" applyBorder="1" applyAlignment="1">
      <alignment horizontal="center" vertical="center" wrapText="1"/>
    </xf>
    <xf numFmtId="0" fontId="9" fillId="9" borderId="11" xfId="0" applyFont="1" applyFill="1" applyBorder="1" applyAlignment="1">
      <alignment horizontal="center" vertical="center" wrapText="1"/>
    </xf>
    <xf numFmtId="0" fontId="9" fillId="9" borderId="62" xfId="0" applyFont="1" applyFill="1" applyBorder="1" applyAlignment="1">
      <alignment horizontal="center" vertical="center"/>
    </xf>
    <xf numFmtId="0" fontId="9" fillId="9" borderId="72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13" fillId="50" borderId="25" xfId="0" applyFont="1" applyFill="1" applyBorder="1" applyAlignment="1">
      <alignment horizontal="center" vertical="center" wrapText="1"/>
    </xf>
    <xf numFmtId="0" fontId="13" fillId="50" borderId="37" xfId="0" applyFont="1" applyFill="1" applyBorder="1" applyAlignment="1">
      <alignment horizontal="center" vertical="center" wrapText="1"/>
    </xf>
    <xf numFmtId="0" fontId="78" fillId="50" borderId="75" xfId="0" applyFont="1" applyFill="1" applyBorder="1" applyAlignment="1">
      <alignment horizontal="center" vertical="center"/>
    </xf>
    <xf numFmtId="0" fontId="78" fillId="50" borderId="39" xfId="0" applyFont="1" applyFill="1" applyBorder="1" applyAlignment="1">
      <alignment horizontal="center" vertical="center"/>
    </xf>
    <xf numFmtId="0" fontId="78" fillId="50" borderId="44" xfId="0" applyFont="1" applyFill="1" applyBorder="1" applyAlignment="1">
      <alignment horizontal="center" vertical="center"/>
    </xf>
    <xf numFmtId="165" fontId="13" fillId="0" borderId="25" xfId="0" applyNumberFormat="1" applyFont="1" applyBorder="1" applyAlignment="1">
      <alignment horizontal="center" vertical="center" wrapText="1"/>
    </xf>
    <xf numFmtId="165" fontId="13" fillId="0" borderId="37" xfId="0" applyNumberFormat="1" applyFont="1" applyBorder="1" applyAlignment="1">
      <alignment horizontal="center" vertical="center" wrapText="1"/>
    </xf>
    <xf numFmtId="167" fontId="43" fillId="0" borderId="3" xfId="0" applyNumberFormat="1" applyFont="1" applyBorder="1" applyAlignment="1">
      <alignment horizontal="center" vertical="center"/>
    </xf>
    <xf numFmtId="0" fontId="79" fillId="0" borderId="0" xfId="0" applyFont="1" applyAlignment="1" applyProtection="1">
      <alignment horizontal="right"/>
      <protection locked="0"/>
    </xf>
    <xf numFmtId="0" fontId="25" fillId="0" borderId="0" xfId="0" applyFont="1" applyAlignment="1" applyProtection="1">
      <alignment horizontal="center"/>
      <protection locked="0"/>
    </xf>
    <xf numFmtId="1" fontId="15" fillId="0" borderId="25" xfId="0" applyNumberFormat="1" applyFont="1" applyBorder="1" applyAlignment="1" applyProtection="1">
      <alignment horizontal="center" vertical="center"/>
      <protection locked="0"/>
    </xf>
    <xf numFmtId="1" fontId="15" fillId="0" borderId="37" xfId="0" applyNumberFormat="1" applyFont="1" applyBorder="1" applyAlignment="1" applyProtection="1">
      <alignment horizontal="center" vertical="center"/>
      <protection locked="0"/>
    </xf>
    <xf numFmtId="1" fontId="15" fillId="0" borderId="21" xfId="0" applyNumberFormat="1" applyFont="1" applyBorder="1" applyAlignment="1" applyProtection="1">
      <alignment horizontal="center" vertical="center"/>
      <protection locked="0"/>
    </xf>
    <xf numFmtId="0" fontId="36" fillId="0" borderId="32" xfId="0" applyFont="1" applyBorder="1" applyAlignment="1">
      <alignment horizontal="left" vertical="center"/>
    </xf>
    <xf numFmtId="0" fontId="36" fillId="0" borderId="39" xfId="0" applyFont="1" applyBorder="1" applyAlignment="1">
      <alignment horizontal="left" vertical="center"/>
    </xf>
    <xf numFmtId="0" fontId="13" fillId="39" borderId="25" xfId="0" applyFont="1" applyFill="1" applyBorder="1" applyAlignment="1">
      <alignment horizontal="center" vertical="center" wrapText="1"/>
    </xf>
    <xf numFmtId="0" fontId="13" fillId="39" borderId="37" xfId="0" applyFont="1" applyFill="1" applyBorder="1" applyAlignment="1">
      <alignment horizontal="center" vertical="center" wrapText="1"/>
    </xf>
    <xf numFmtId="0" fontId="13" fillId="39" borderId="21" xfId="0" applyFont="1" applyFill="1" applyBorder="1" applyAlignment="1">
      <alignment horizontal="center" vertical="center" wrapText="1"/>
    </xf>
    <xf numFmtId="0" fontId="42" fillId="50" borderId="25" xfId="0" applyFont="1" applyFill="1" applyBorder="1" applyAlignment="1">
      <alignment horizontal="center" vertical="center" wrapText="1"/>
    </xf>
    <xf numFmtId="0" fontId="42" fillId="50" borderId="37" xfId="0" applyFont="1" applyFill="1" applyBorder="1" applyAlignment="1">
      <alignment horizontal="center" vertical="center" wrapText="1"/>
    </xf>
    <xf numFmtId="0" fontId="42" fillId="50" borderId="21" xfId="0" applyFont="1" applyFill="1" applyBorder="1" applyAlignment="1">
      <alignment horizontal="center" vertical="center" wrapText="1"/>
    </xf>
    <xf numFmtId="0" fontId="8" fillId="24" borderId="3" xfId="0" applyFont="1" applyFill="1" applyBorder="1" applyAlignment="1">
      <alignment horizontal="center" vertical="center"/>
    </xf>
    <xf numFmtId="0" fontId="8" fillId="39" borderId="3" xfId="0" applyFont="1" applyFill="1" applyBorder="1" applyAlignment="1">
      <alignment horizontal="center" vertical="center"/>
    </xf>
    <xf numFmtId="0" fontId="8" fillId="48" borderId="3" xfId="0" applyFont="1" applyFill="1" applyBorder="1" applyAlignment="1">
      <alignment horizontal="center" vertical="center"/>
    </xf>
    <xf numFmtId="0" fontId="35" fillId="35" borderId="3" xfId="0" applyFont="1" applyFill="1" applyBorder="1" applyAlignment="1">
      <alignment horizontal="center" vertical="center" wrapText="1"/>
    </xf>
    <xf numFmtId="0" fontId="8" fillId="49" borderId="3" xfId="0" applyFont="1" applyFill="1" applyBorder="1" applyAlignment="1">
      <alignment horizontal="center" vertical="center"/>
    </xf>
    <xf numFmtId="0" fontId="8" fillId="33" borderId="3" xfId="0" applyFont="1" applyFill="1" applyBorder="1" applyAlignment="1">
      <alignment horizontal="center" vertical="center"/>
    </xf>
    <xf numFmtId="0" fontId="13" fillId="39" borderId="35" xfId="0" applyFont="1" applyFill="1" applyBorder="1" applyAlignment="1">
      <alignment horizontal="center" vertical="center" wrapText="1"/>
    </xf>
    <xf numFmtId="0" fontId="13" fillId="39" borderId="36" xfId="0" applyFont="1" applyFill="1" applyBorder="1" applyAlignment="1">
      <alignment horizontal="center" vertical="center" wrapText="1"/>
    </xf>
    <xf numFmtId="0" fontId="13" fillId="39" borderId="32" xfId="0" applyFont="1" applyFill="1" applyBorder="1" applyAlignment="1">
      <alignment horizontal="center" vertical="center" wrapText="1"/>
    </xf>
    <xf numFmtId="0" fontId="13" fillId="39" borderId="0" xfId="0" applyFont="1" applyFill="1" applyAlignment="1">
      <alignment horizontal="center" vertical="center" wrapText="1"/>
    </xf>
    <xf numFmtId="0" fontId="13" fillId="39" borderId="33" xfId="0" applyFont="1" applyFill="1" applyBorder="1" applyAlignment="1">
      <alignment horizontal="center" vertical="center" wrapText="1"/>
    </xf>
    <xf numFmtId="0" fontId="13" fillId="39" borderId="34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28" fillId="0" borderId="35" xfId="0" applyFont="1" applyBorder="1" applyAlignment="1">
      <alignment horizontal="center"/>
    </xf>
    <xf numFmtId="0" fontId="28" fillId="0" borderId="36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19" fillId="0" borderId="83" xfId="0" applyFont="1" applyBorder="1" applyAlignment="1">
      <alignment vertical="center" wrapText="1"/>
    </xf>
    <xf numFmtId="0" fontId="19" fillId="0" borderId="86" xfId="0" applyFont="1" applyBorder="1" applyAlignment="1">
      <alignment vertical="center" wrapText="1"/>
    </xf>
    <xf numFmtId="0" fontId="19" fillId="0" borderId="95" xfId="0" applyFont="1" applyBorder="1" applyAlignment="1">
      <alignment vertical="center" wrapText="1"/>
    </xf>
    <xf numFmtId="0" fontId="18" fillId="0" borderId="90" xfId="0" applyFont="1" applyBorder="1" applyAlignment="1">
      <alignment horizontal="center" vertical="center" wrapText="1"/>
    </xf>
    <xf numFmtId="0" fontId="18" fillId="0" borderId="84" xfId="0" applyFont="1" applyBorder="1" applyAlignment="1">
      <alignment horizontal="center" vertical="center" wrapText="1"/>
    </xf>
    <xf numFmtId="0" fontId="18" fillId="0" borderId="88" xfId="0" applyFont="1" applyBorder="1" applyAlignment="1">
      <alignment horizontal="center" vertical="center" wrapText="1"/>
    </xf>
    <xf numFmtId="0" fontId="18" fillId="0" borderId="93" xfId="0" applyFont="1" applyBorder="1" applyAlignment="1">
      <alignment horizontal="center" vertical="center" wrapText="1"/>
    </xf>
    <xf numFmtId="0" fontId="18" fillId="0" borderId="94" xfId="0" applyFont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 wrapText="1"/>
    </xf>
    <xf numFmtId="0" fontId="39" fillId="0" borderId="0" xfId="0" applyFont="1" applyAlignment="1">
      <alignment horizontal="center"/>
    </xf>
    <xf numFmtId="0" fontId="18" fillId="0" borderId="96" xfId="0" applyFont="1" applyBorder="1" applyAlignment="1">
      <alignment horizontal="center" vertical="center" wrapText="1"/>
    </xf>
    <xf numFmtId="0" fontId="19" fillId="0" borderId="78" xfId="0" applyFont="1" applyBorder="1" applyAlignment="1">
      <alignment vertical="center" wrapText="1"/>
    </xf>
    <xf numFmtId="0" fontId="39" fillId="0" borderId="35" xfId="0" applyFont="1" applyBorder="1" applyAlignment="1">
      <alignment horizontal="center"/>
    </xf>
    <xf numFmtId="0" fontId="39" fillId="0" borderId="36" xfId="0" applyFont="1" applyBorder="1" applyAlignment="1">
      <alignment horizontal="center"/>
    </xf>
    <xf numFmtId="0" fontId="39" fillId="0" borderId="75" xfId="0" applyFont="1" applyBorder="1" applyAlignment="1">
      <alignment horizontal="center"/>
    </xf>
    <xf numFmtId="0" fontId="19" fillId="0" borderId="92" xfId="0" applyFont="1" applyBorder="1" applyAlignment="1">
      <alignment vertical="center" wrapText="1"/>
    </xf>
    <xf numFmtId="0" fontId="18" fillId="0" borderId="34" xfId="0" applyFont="1" applyBorder="1" applyAlignment="1">
      <alignment horizontal="center" vertical="center" wrapText="1"/>
    </xf>
    <xf numFmtId="0" fontId="14" fillId="0" borderId="51" xfId="0" applyFont="1" applyBorder="1" applyAlignment="1">
      <alignment horizontal="center" vertical="center" wrapText="1"/>
    </xf>
    <xf numFmtId="0" fontId="14" fillId="0" borderId="76" xfId="0" applyFont="1" applyBorder="1" applyAlignment="1">
      <alignment horizontal="center" vertical="center" wrapText="1"/>
    </xf>
    <xf numFmtId="0" fontId="32" fillId="0" borderId="83" xfId="0" applyFont="1" applyBorder="1" applyAlignment="1">
      <alignment horizontal="center" vertical="center" wrapText="1"/>
    </xf>
    <xf numFmtId="0" fontId="32" fillId="0" borderId="86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278BCACB-E135-4E20-84BC-06B029A26906}"/>
  </cellStyles>
  <dxfs count="1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28575</xdr:rowOff>
    </xdr:from>
    <xdr:to>
      <xdr:col>29</xdr:col>
      <xdr:colOff>63117</xdr:colOff>
      <xdr:row>25</xdr:row>
      <xdr:rowOff>114759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101" y="28575"/>
          <a:ext cx="6244956" cy="5881515"/>
        </a:xfrm>
        <a:prstGeom prst="rect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es-PE"/>
        </a:p>
      </xdr:txBody>
    </xdr:sp>
    <xdr:clientData/>
  </xdr:twoCellAnchor>
  <xdr:twoCellAnchor editAs="oneCell">
    <xdr:from>
      <xdr:col>12</xdr:col>
      <xdr:colOff>219075</xdr:colOff>
      <xdr:row>0</xdr:row>
      <xdr:rowOff>57150</xdr:rowOff>
    </xdr:from>
    <xdr:to>
      <xdr:col>17</xdr:col>
      <xdr:colOff>209550</xdr:colOff>
      <xdr:row>0</xdr:row>
      <xdr:rowOff>1323975</xdr:rowOff>
    </xdr:to>
    <xdr:pic>
      <xdr:nvPicPr>
        <xdr:cNvPr id="1108" name="Imagen 3">
          <a:extLst>
            <a:ext uri="{FF2B5EF4-FFF2-40B4-BE49-F238E27FC236}">
              <a16:creationId xmlns:a16="http://schemas.microsoft.com/office/drawing/2014/main" id="{00000000-0008-0000-01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228" t="17461" r="12698"/>
        <a:stretch>
          <a:fillRect/>
        </a:stretch>
      </xdr:blipFill>
      <xdr:spPr bwMode="auto">
        <a:xfrm>
          <a:off x="2600325" y="57150"/>
          <a:ext cx="11334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19050</xdr:rowOff>
        </xdr:from>
        <xdr:to>
          <xdr:col>3</xdr:col>
          <xdr:colOff>200025</xdr:colOff>
          <xdr:row>2</xdr:row>
          <xdr:rowOff>133350</xdr:rowOff>
        </xdr:to>
        <xdr:sp macro="" textlink="">
          <xdr:nvSpPr>
            <xdr:cNvPr id="32090" name="Button 346" hidden="1">
              <a:extLst>
                <a:ext uri="{63B3BB69-23CF-44E3-9099-C40C66FF867C}">
                  <a14:compatExt spid="_x0000_s32090"/>
                </a:ext>
                <a:ext uri="{FF2B5EF4-FFF2-40B4-BE49-F238E27FC236}">
                  <a16:creationId xmlns:a16="http://schemas.microsoft.com/office/drawing/2014/main" id="{00000000-0008-0000-0400-00005A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+otón 346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19050</xdr:rowOff>
        </xdr:from>
        <xdr:to>
          <xdr:col>5</xdr:col>
          <xdr:colOff>200025</xdr:colOff>
          <xdr:row>2</xdr:row>
          <xdr:rowOff>133350</xdr:rowOff>
        </xdr:to>
        <xdr:sp macro="" textlink="">
          <xdr:nvSpPr>
            <xdr:cNvPr id="32092" name="Button 348" hidden="1">
              <a:extLst>
                <a:ext uri="{63B3BB69-23CF-44E3-9099-C40C66FF867C}">
                  <a14:compatExt spid="_x0000_s32092"/>
                </a:ext>
                <a:ext uri="{FF2B5EF4-FFF2-40B4-BE49-F238E27FC236}">
                  <a16:creationId xmlns:a16="http://schemas.microsoft.com/office/drawing/2014/main" id="{00000000-0008-0000-0400-00005C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+otón 346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19050</xdr:rowOff>
        </xdr:from>
        <xdr:to>
          <xdr:col>7</xdr:col>
          <xdr:colOff>200025</xdr:colOff>
          <xdr:row>2</xdr:row>
          <xdr:rowOff>133350</xdr:rowOff>
        </xdr:to>
        <xdr:sp macro="" textlink="">
          <xdr:nvSpPr>
            <xdr:cNvPr id="32093" name="Button 349" hidden="1">
              <a:extLst>
                <a:ext uri="{63B3BB69-23CF-44E3-9099-C40C66FF867C}">
                  <a14:compatExt spid="_x0000_s32093"/>
                </a:ext>
                <a:ext uri="{FF2B5EF4-FFF2-40B4-BE49-F238E27FC236}">
                  <a16:creationId xmlns:a16="http://schemas.microsoft.com/office/drawing/2014/main" id="{00000000-0008-0000-0400-00005D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+otón 346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</xdr:row>
          <xdr:rowOff>19050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32094" name="Button 350" hidden="1">
              <a:extLst>
                <a:ext uri="{63B3BB69-23CF-44E3-9099-C40C66FF867C}">
                  <a14:compatExt spid="_x0000_s32094"/>
                </a:ext>
                <a:ext uri="{FF2B5EF4-FFF2-40B4-BE49-F238E27FC236}">
                  <a16:creationId xmlns:a16="http://schemas.microsoft.com/office/drawing/2014/main" id="{00000000-0008-0000-0400-00005E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+otón 346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19050</xdr:rowOff>
        </xdr:from>
        <xdr:to>
          <xdr:col>11</xdr:col>
          <xdr:colOff>209550</xdr:colOff>
          <xdr:row>2</xdr:row>
          <xdr:rowOff>133350</xdr:rowOff>
        </xdr:to>
        <xdr:sp macro="" textlink="">
          <xdr:nvSpPr>
            <xdr:cNvPr id="32095" name="Button 351" hidden="1">
              <a:extLst>
                <a:ext uri="{63B3BB69-23CF-44E3-9099-C40C66FF867C}">
                  <a14:compatExt spid="_x0000_s32095"/>
                </a:ext>
                <a:ext uri="{FF2B5EF4-FFF2-40B4-BE49-F238E27FC236}">
                  <a16:creationId xmlns:a16="http://schemas.microsoft.com/office/drawing/2014/main" id="{00000000-0008-0000-0400-00005F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+otón 346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52</xdr:row>
          <xdr:rowOff>85725</xdr:rowOff>
        </xdr:from>
        <xdr:to>
          <xdr:col>17</xdr:col>
          <xdr:colOff>238125</xdr:colOff>
          <xdr:row>53</xdr:row>
          <xdr:rowOff>66675</xdr:rowOff>
        </xdr:to>
        <xdr:sp macro="" textlink="">
          <xdr:nvSpPr>
            <xdr:cNvPr id="32105" name="Button 361" hidden="1">
              <a:extLst>
                <a:ext uri="{63B3BB69-23CF-44E3-9099-C40C66FF867C}">
                  <a14:compatExt spid="_x0000_s32105"/>
                </a:ext>
                <a:ext uri="{FF2B5EF4-FFF2-40B4-BE49-F238E27FC236}">
                  <a16:creationId xmlns:a16="http://schemas.microsoft.com/office/drawing/2014/main" id="{00000000-0008-0000-0400-000069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LORENZO\AppData\Local\Temp\Rar$DIa0.255\INFORMACION%20PARA%20AMPLIACION%20ACCESO%20SECUNDARIA%20-%20UGEL%20SAN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"/>
      <sheetName val="Consolidado de IIEE por UGEL"/>
      <sheetName val="DOCENTE X ESPECIALIDAD"/>
      <sheetName val="DIRECTIVO, AUXILIAR ED, ADMINIS"/>
    </sheetNames>
    <sheetDataSet>
      <sheetData sheetId="0">
        <row r="5">
          <cell r="G5" t="str">
            <v>MAÑANA</v>
          </cell>
        </row>
        <row r="6">
          <cell r="G6" t="str">
            <v>TARDE</v>
          </cell>
        </row>
        <row r="7">
          <cell r="G7" t="str">
            <v>AMBOS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0E98-8E2B-42F0-9425-DB1489369EC7}">
  <sheetPr codeName="Hoja3">
    <tabColor rgb="FF92D050"/>
    <pageSetUpPr fitToPage="1"/>
  </sheetPr>
  <dimension ref="A1:C34"/>
  <sheetViews>
    <sheetView workbookViewId="0">
      <selection sqref="A1:C1"/>
    </sheetView>
  </sheetViews>
  <sheetFormatPr baseColWidth="10" defaultRowHeight="12.75" x14ac:dyDescent="0.2"/>
  <cols>
    <col min="1" max="1" width="6.28515625" customWidth="1"/>
    <col min="2" max="2" width="5.28515625" customWidth="1"/>
    <col min="3" max="3" width="115.42578125" customWidth="1"/>
  </cols>
  <sheetData>
    <row r="1" spans="1:3" ht="35.25" customHeight="1" x14ac:dyDescent="0.2">
      <c r="A1" s="395" t="s">
        <v>485</v>
      </c>
      <c r="B1" s="395"/>
      <c r="C1" s="395"/>
    </row>
    <row r="2" spans="1:3" ht="18" x14ac:dyDescent="0.25">
      <c r="A2" s="16" t="s">
        <v>149</v>
      </c>
      <c r="B2" s="13"/>
      <c r="C2" s="13"/>
    </row>
    <row r="3" spans="1:3" ht="18" x14ac:dyDescent="0.25">
      <c r="A3" s="14"/>
      <c r="B3" s="26">
        <v>1</v>
      </c>
      <c r="C3" s="27" t="s">
        <v>486</v>
      </c>
    </row>
    <row r="5" spans="1:3" ht="18" x14ac:dyDescent="0.25">
      <c r="A5" s="16" t="s">
        <v>18</v>
      </c>
      <c r="B5" s="13"/>
      <c r="C5" s="13"/>
    </row>
    <row r="6" spans="1:3" ht="29.25" x14ac:dyDescent="0.25">
      <c r="A6" s="14"/>
      <c r="B6" s="26">
        <v>1</v>
      </c>
      <c r="C6" s="27" t="s">
        <v>143</v>
      </c>
    </row>
    <row r="7" spans="1:3" ht="18" x14ac:dyDescent="0.25">
      <c r="A7" s="14"/>
      <c r="B7" s="26">
        <v>2</v>
      </c>
      <c r="C7" s="27" t="s">
        <v>483</v>
      </c>
    </row>
    <row r="8" spans="1:3" ht="29.25" x14ac:dyDescent="0.25">
      <c r="A8" s="14"/>
      <c r="B8" s="26">
        <v>3</v>
      </c>
      <c r="C8" s="27" t="s">
        <v>110</v>
      </c>
    </row>
    <row r="9" spans="1:3" ht="18" x14ac:dyDescent="0.25">
      <c r="A9" s="14"/>
      <c r="B9" s="26">
        <v>4</v>
      </c>
      <c r="C9" s="27" t="s">
        <v>481</v>
      </c>
    </row>
    <row r="10" spans="1:3" ht="18" x14ac:dyDescent="0.25">
      <c r="A10" s="14"/>
      <c r="B10" s="26">
        <v>5</v>
      </c>
      <c r="C10" s="27" t="s">
        <v>482</v>
      </c>
    </row>
    <row r="11" spans="1:3" ht="29.25" x14ac:dyDescent="0.25">
      <c r="A11" s="14"/>
      <c r="B11" s="26">
        <v>6</v>
      </c>
      <c r="C11" s="27" t="s">
        <v>111</v>
      </c>
    </row>
    <row r="12" spans="1:3" ht="18" x14ac:dyDescent="0.25">
      <c r="A12" s="14"/>
      <c r="B12" s="26"/>
      <c r="C12" s="27"/>
    </row>
    <row r="13" spans="1:3" ht="18" x14ac:dyDescent="0.25">
      <c r="A13" s="16" t="s">
        <v>112</v>
      </c>
      <c r="B13" s="30"/>
      <c r="C13" s="29"/>
    </row>
    <row r="14" spans="1:3" ht="18" x14ac:dyDescent="0.25">
      <c r="A14" s="14"/>
      <c r="B14" s="26">
        <v>1</v>
      </c>
      <c r="C14" s="27" t="s">
        <v>113</v>
      </c>
    </row>
    <row r="15" spans="1:3" ht="18" x14ac:dyDescent="0.25">
      <c r="A15" s="14"/>
      <c r="B15" s="26">
        <v>2</v>
      </c>
      <c r="C15" s="27" t="s">
        <v>114</v>
      </c>
    </row>
    <row r="16" spans="1:3" ht="18" x14ac:dyDescent="0.25">
      <c r="A16" s="14"/>
      <c r="B16" s="26"/>
      <c r="C16" s="27"/>
    </row>
    <row r="17" spans="1:3" ht="18" x14ac:dyDescent="0.25">
      <c r="A17" s="16" t="s">
        <v>121</v>
      </c>
      <c r="B17" s="30"/>
      <c r="C17" s="29"/>
    </row>
    <row r="18" spans="1:3" ht="18" x14ac:dyDescent="0.25">
      <c r="A18" s="14"/>
      <c r="B18" s="26">
        <v>1</v>
      </c>
      <c r="C18" s="27" t="s">
        <v>151</v>
      </c>
    </row>
    <row r="19" spans="1:3" ht="18" x14ac:dyDescent="0.25">
      <c r="A19" s="14"/>
      <c r="B19" s="26">
        <v>2</v>
      </c>
      <c r="C19" s="27" t="s">
        <v>115</v>
      </c>
    </row>
    <row r="20" spans="1:3" ht="29.25" x14ac:dyDescent="0.25">
      <c r="A20" s="14"/>
      <c r="B20" s="26">
        <v>3</v>
      </c>
      <c r="C20" s="27" t="s">
        <v>116</v>
      </c>
    </row>
    <row r="21" spans="1:3" ht="18" x14ac:dyDescent="0.25">
      <c r="A21" s="14"/>
      <c r="B21" s="26">
        <v>4</v>
      </c>
      <c r="C21" s="27" t="s">
        <v>117</v>
      </c>
    </row>
    <row r="22" spans="1:3" ht="29.25" x14ac:dyDescent="0.25">
      <c r="A22" s="14"/>
      <c r="B22" s="26">
        <v>5</v>
      </c>
      <c r="C22" s="27" t="s">
        <v>118</v>
      </c>
    </row>
    <row r="23" spans="1:3" ht="29.25" x14ac:dyDescent="0.25">
      <c r="A23" s="14"/>
      <c r="B23" s="26">
        <v>6</v>
      </c>
      <c r="C23" s="27" t="s">
        <v>119</v>
      </c>
    </row>
    <row r="24" spans="1:3" ht="18" x14ac:dyDescent="0.25">
      <c r="A24" s="14"/>
      <c r="B24" s="26"/>
      <c r="C24" s="27"/>
    </row>
    <row r="25" spans="1:3" ht="18" x14ac:dyDescent="0.25">
      <c r="A25" s="16" t="s">
        <v>49</v>
      </c>
      <c r="B25" s="30"/>
      <c r="C25" s="29"/>
    </row>
    <row r="26" spans="1:3" ht="18" x14ac:dyDescent="0.25">
      <c r="A26" s="14"/>
      <c r="B26" s="26">
        <v>1</v>
      </c>
      <c r="C26" s="27" t="s">
        <v>120</v>
      </c>
    </row>
    <row r="27" spans="1:3" ht="18" x14ac:dyDescent="0.25">
      <c r="A27" s="14"/>
      <c r="B27" s="26">
        <v>2</v>
      </c>
      <c r="C27" s="27" t="s">
        <v>124</v>
      </c>
    </row>
    <row r="28" spans="1:3" ht="18" x14ac:dyDescent="0.25">
      <c r="A28" s="14"/>
      <c r="B28" s="26"/>
      <c r="C28" s="27"/>
    </row>
    <row r="29" spans="1:3" ht="18" x14ac:dyDescent="0.25">
      <c r="A29" s="16" t="s">
        <v>28</v>
      </c>
      <c r="B29" s="30"/>
      <c r="C29" s="29"/>
    </row>
    <row r="30" spans="1:3" ht="18" x14ac:dyDescent="0.25">
      <c r="A30" s="14"/>
      <c r="B30" s="26">
        <v>1</v>
      </c>
      <c r="C30" s="27" t="s">
        <v>484</v>
      </c>
    </row>
    <row r="31" spans="1:3" ht="18" x14ac:dyDescent="0.25">
      <c r="A31" s="14"/>
      <c r="B31" s="28"/>
      <c r="C31" s="27"/>
    </row>
    <row r="32" spans="1:3" ht="18" x14ac:dyDescent="0.25">
      <c r="A32" s="14"/>
      <c r="B32" s="28"/>
      <c r="C32" s="28"/>
    </row>
    <row r="33" spans="2:3" ht="14.25" x14ac:dyDescent="0.2">
      <c r="B33" s="28"/>
      <c r="C33" s="28"/>
    </row>
    <row r="34" spans="2:3" ht="14.25" x14ac:dyDescent="0.2">
      <c r="B34" s="28"/>
      <c r="C34" s="28"/>
    </row>
  </sheetData>
  <sheetProtection sheet="1" objects="1" scenarios="1"/>
  <mergeCells count="1">
    <mergeCell ref="A1:C1"/>
  </mergeCells>
  <pageMargins left="0.70866141732283472" right="0.70866141732283472" top="0.74803149606299213" bottom="0.74803149606299213" header="0.31496062992125984" footer="0.31496062992125984"/>
  <pageSetup paperSize="9" scale="7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92C7-BB28-4CFA-A622-000C9631C793}">
  <sheetPr codeName="Hoja10">
    <tabColor rgb="FF92D050"/>
  </sheetPr>
  <dimension ref="A1:AC24"/>
  <sheetViews>
    <sheetView zoomScale="130" zoomScaleNormal="130" workbookViewId="0">
      <selection activeCell="AG28" sqref="AG28"/>
    </sheetView>
  </sheetViews>
  <sheetFormatPr baseColWidth="10" defaultColWidth="6.42578125" defaultRowHeight="12.75" x14ac:dyDescent="0.2"/>
  <cols>
    <col min="1" max="1" width="1.42578125" customWidth="1"/>
    <col min="2" max="8" width="3.42578125" customWidth="1"/>
    <col min="9" max="9" width="4.140625" customWidth="1"/>
    <col min="10" max="10" width="2" customWidth="1"/>
    <col min="11" max="11" width="0.7109375" customWidth="1"/>
    <col min="12" max="18" width="3.42578125" customWidth="1"/>
    <col min="19" max="19" width="4.5703125" customWidth="1"/>
    <col min="20" max="20" width="0.5703125" customWidth="1"/>
    <col min="21" max="24" width="3.42578125" customWidth="1"/>
    <col min="25" max="25" width="0.42578125" customWidth="1"/>
    <col min="26" max="26" width="8.5703125" customWidth="1"/>
    <col min="27" max="28" width="3.42578125" customWidth="1"/>
    <col min="29" max="29" width="4.140625" customWidth="1"/>
    <col min="30" max="30" width="1.7109375" customWidth="1"/>
    <col min="31" max="238" width="11.42578125" customWidth="1"/>
  </cols>
  <sheetData>
    <row r="1" spans="1:29" ht="121.5" customHeight="1" x14ac:dyDescent="0.35">
      <c r="A1" s="396" t="s">
        <v>121</v>
      </c>
      <c r="B1" s="396"/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</row>
    <row r="2" spans="1:29" ht="27.75" customHeight="1" thickBot="1" x14ac:dyDescent="0.25">
      <c r="A2" s="397" t="s">
        <v>136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  <c r="Z2" s="397"/>
      <c r="AA2" s="397"/>
      <c r="AB2" s="397"/>
      <c r="AC2" s="397"/>
    </row>
    <row r="3" spans="1:29" ht="21.75" customHeight="1" thickBot="1" x14ac:dyDescent="0.4">
      <c r="A3" s="163"/>
      <c r="B3" s="169"/>
      <c r="C3" s="169"/>
      <c r="D3" s="169"/>
      <c r="E3" s="169"/>
      <c r="F3" s="169"/>
      <c r="G3" s="169"/>
      <c r="H3" s="169"/>
      <c r="I3" s="169"/>
      <c r="J3" s="163"/>
      <c r="K3" s="163"/>
      <c r="L3" s="398" t="s">
        <v>99</v>
      </c>
      <c r="M3" s="399"/>
      <c r="N3" s="399"/>
      <c r="O3" s="399"/>
      <c r="P3" s="399"/>
      <c r="Q3" s="399"/>
      <c r="R3" s="399"/>
      <c r="S3" s="400"/>
      <c r="T3" s="163"/>
      <c r="U3" s="163"/>
      <c r="V3" s="163"/>
      <c r="W3" s="163"/>
      <c r="X3" s="163"/>
      <c r="Y3" s="163"/>
      <c r="Z3" s="163"/>
      <c r="AA3" s="163"/>
      <c r="AB3" s="163"/>
      <c r="AC3" s="163"/>
    </row>
    <row r="4" spans="1:29" ht="21" customHeight="1" thickBot="1" x14ac:dyDescent="0.4">
      <c r="A4" s="163"/>
      <c r="B4" s="169"/>
      <c r="C4" s="169"/>
      <c r="D4" s="169"/>
      <c r="E4" s="169"/>
      <c r="F4" s="169"/>
      <c r="G4" s="169"/>
      <c r="H4" s="169"/>
      <c r="I4" s="169"/>
      <c r="J4" s="163"/>
      <c r="K4" s="163"/>
      <c r="L4" s="404" t="s">
        <v>306</v>
      </c>
      <c r="M4" s="405"/>
      <c r="N4" s="405"/>
      <c r="O4" s="405"/>
      <c r="P4" s="405"/>
      <c r="Q4" s="405"/>
      <c r="R4" s="405"/>
      <c r="S4" s="406"/>
      <c r="T4" s="163"/>
      <c r="U4" s="163"/>
      <c r="V4" s="163"/>
      <c r="W4" s="163"/>
      <c r="X4" s="163"/>
      <c r="Y4" s="163"/>
      <c r="Z4" s="163"/>
      <c r="AA4" s="163"/>
      <c r="AB4" s="163"/>
      <c r="AC4" s="163"/>
    </row>
    <row r="5" spans="1:29" ht="14.25" customHeight="1" thickBot="1" x14ac:dyDescent="0.4">
      <c r="A5" s="93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69"/>
      <c r="P5" s="169"/>
      <c r="Q5" s="169"/>
      <c r="R5" s="169"/>
      <c r="S5" s="169"/>
      <c r="T5" s="169"/>
      <c r="U5" s="170"/>
      <c r="V5" s="170"/>
      <c r="W5" s="170"/>
      <c r="X5" s="170"/>
      <c r="Y5" s="170"/>
      <c r="Z5" s="170"/>
      <c r="AA5" s="170"/>
      <c r="AB5" s="170"/>
      <c r="AC5" s="170"/>
    </row>
    <row r="6" spans="1:29" ht="24.75" customHeight="1" thickBot="1" x14ac:dyDescent="0.4">
      <c r="A6" s="90"/>
      <c r="B6" s="398" t="s">
        <v>137</v>
      </c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399"/>
      <c r="U6" s="399"/>
      <c r="V6" s="399"/>
      <c r="W6" s="399"/>
      <c r="X6" s="400"/>
      <c r="Y6" s="171"/>
      <c r="Z6" s="398" t="s">
        <v>74</v>
      </c>
      <c r="AA6" s="399"/>
      <c r="AB6" s="399"/>
      <c r="AC6" s="400"/>
    </row>
    <row r="7" spans="1:29" ht="3" customHeight="1" thickBot="1" x14ac:dyDescent="0.25"/>
    <row r="8" spans="1:29" ht="21.75" thickBot="1" x14ac:dyDescent="0.25">
      <c r="B8" s="407" t="str">
        <f>IFERROR(VLOOKUP(L4,DIRECTOR!$A$3:$AA$10,9,0),"")</f>
        <v>ANTONIO RAYMONDI</v>
      </c>
      <c r="C8" s="408"/>
      <c r="D8" s="408"/>
      <c r="E8" s="408"/>
      <c r="F8" s="408"/>
      <c r="G8" s="408"/>
      <c r="H8" s="408"/>
      <c r="I8" s="408"/>
      <c r="J8" s="408"/>
      <c r="K8" s="408"/>
      <c r="L8" s="408"/>
      <c r="M8" s="408"/>
      <c r="N8" s="408"/>
      <c r="O8" s="408"/>
      <c r="P8" s="408"/>
      <c r="Q8" s="408"/>
      <c r="R8" s="408"/>
      <c r="S8" s="408"/>
      <c r="T8" s="408"/>
      <c r="U8" s="408"/>
      <c r="V8" s="408"/>
      <c r="W8" s="408"/>
      <c r="X8" s="409"/>
      <c r="Y8" s="236"/>
      <c r="Z8" s="407" t="str">
        <f>IFERROR(VLOOKUP(L4,DIRECTOR!$A$3:$X$10,7,0),"")</f>
        <v>JER-EIB</v>
      </c>
      <c r="AA8" s="408"/>
      <c r="AB8" s="408"/>
      <c r="AC8" s="409"/>
    </row>
    <row r="9" spans="1:29" ht="12.75" customHeight="1" thickBot="1" x14ac:dyDescent="0.25"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7"/>
      <c r="M9" s="167"/>
      <c r="N9" s="167"/>
      <c r="O9" s="167"/>
      <c r="P9" s="167"/>
      <c r="Q9" s="167"/>
      <c r="R9" s="167"/>
      <c r="S9" s="167"/>
      <c r="T9" s="164"/>
      <c r="U9" s="167"/>
      <c r="V9" s="167"/>
      <c r="W9" s="167"/>
      <c r="X9" s="167"/>
      <c r="Y9" s="167"/>
      <c r="Z9" s="167"/>
      <c r="AA9" s="167"/>
      <c r="AB9" s="167"/>
      <c r="AC9" s="168"/>
    </row>
    <row r="10" spans="1:29" ht="21.75" thickBot="1" x14ac:dyDescent="0.4">
      <c r="B10" s="398" t="s">
        <v>52</v>
      </c>
      <c r="C10" s="399"/>
      <c r="D10" s="399"/>
      <c r="E10" s="399"/>
      <c r="F10" s="399"/>
      <c r="G10" s="399"/>
      <c r="H10" s="399"/>
      <c r="I10" s="399"/>
      <c r="J10" s="400"/>
      <c r="K10" s="164"/>
      <c r="L10" s="398" t="s">
        <v>139</v>
      </c>
      <c r="M10" s="399"/>
      <c r="N10" s="399"/>
      <c r="O10" s="399"/>
      <c r="P10" s="399"/>
      <c r="Q10" s="399"/>
      <c r="R10" s="399"/>
      <c r="S10" s="399"/>
      <c r="T10" s="399"/>
      <c r="U10" s="399"/>
      <c r="V10" s="399"/>
      <c r="W10" s="399"/>
      <c r="X10" s="399"/>
      <c r="Y10" s="399"/>
      <c r="Z10" s="399"/>
      <c r="AA10" s="399"/>
      <c r="AB10" s="399"/>
      <c r="AC10" s="400"/>
    </row>
    <row r="11" spans="1:29" ht="3" customHeight="1" thickBot="1" x14ac:dyDescent="0.25">
      <c r="K11" s="164"/>
      <c r="U11" s="165"/>
      <c r="V11" s="165"/>
      <c r="W11" s="165"/>
      <c r="X11" s="165"/>
      <c r="Y11" s="165"/>
      <c r="Z11" s="165"/>
      <c r="AA11" s="165"/>
      <c r="AB11" s="165"/>
      <c r="AC11" s="166"/>
    </row>
    <row r="12" spans="1:29" ht="39" customHeight="1" thickBot="1" x14ac:dyDescent="0.25">
      <c r="B12" s="401" t="str">
        <f>IFERROR(VLOOKUP(L4,DIRECTOR!$A$3:$X$10,8,0),"")</f>
        <v>Secundaria</v>
      </c>
      <c r="C12" s="402"/>
      <c r="D12" s="402"/>
      <c r="E12" s="402"/>
      <c r="F12" s="402"/>
      <c r="G12" s="402"/>
      <c r="H12" s="402"/>
      <c r="I12" s="402"/>
      <c r="J12" s="403"/>
      <c r="K12" s="164"/>
      <c r="L12" s="407" t="str">
        <f>IFERROR(VLOOKUP(L4,DIRECTOR!$A$3:$X$10,16,0),"")</f>
        <v>CABANA MAMANI, WENCESLAO QUINTIN</v>
      </c>
      <c r="M12" s="408"/>
      <c r="N12" s="408"/>
      <c r="O12" s="408"/>
      <c r="P12" s="408"/>
      <c r="Q12" s="408"/>
      <c r="R12" s="408"/>
      <c r="S12" s="408"/>
      <c r="T12" s="408"/>
      <c r="U12" s="408"/>
      <c r="V12" s="408"/>
      <c r="W12" s="408"/>
      <c r="X12" s="408"/>
      <c r="Y12" s="408"/>
      <c r="Z12" s="408"/>
      <c r="AA12" s="408"/>
      <c r="AB12" s="408"/>
      <c r="AC12" s="409"/>
    </row>
    <row r="13" spans="1:29" ht="9" customHeight="1" thickBot="1" x14ac:dyDescent="0.4">
      <c r="A13" s="93"/>
      <c r="J13" s="91"/>
    </row>
    <row r="14" spans="1:29" ht="26.25" customHeight="1" thickBot="1" x14ac:dyDescent="0.4">
      <c r="A14" s="93"/>
      <c r="B14" s="398" t="s">
        <v>138</v>
      </c>
      <c r="C14" s="399"/>
      <c r="D14" s="399"/>
      <c r="E14" s="399"/>
      <c r="F14" s="399"/>
      <c r="G14" s="399"/>
      <c r="H14" s="399"/>
      <c r="I14" s="399"/>
      <c r="J14" s="399"/>
      <c r="K14" s="399"/>
      <c r="L14" s="399"/>
      <c r="M14" s="399"/>
      <c r="N14" s="399"/>
      <c r="O14" s="399"/>
      <c r="P14" s="399"/>
      <c r="Q14" s="399"/>
      <c r="R14" s="399"/>
      <c r="S14" s="400"/>
      <c r="T14" s="173"/>
      <c r="U14" s="398" t="s">
        <v>92</v>
      </c>
      <c r="V14" s="399"/>
      <c r="W14" s="399"/>
      <c r="X14" s="399"/>
      <c r="Y14" s="399"/>
      <c r="Z14" s="399"/>
      <c r="AA14" s="399"/>
      <c r="AB14" s="399"/>
      <c r="AC14" s="400"/>
    </row>
    <row r="15" spans="1:29" ht="2.25" customHeight="1" thickBot="1" x14ac:dyDescent="0.4">
      <c r="A15" s="93"/>
    </row>
    <row r="16" spans="1:29" ht="21.75" thickBot="1" x14ac:dyDescent="0.3">
      <c r="A16" s="90"/>
      <c r="B16" s="410" t="str">
        <f>IFERROR(VLOOKUP(L4,DIRECTOR!$A$3:$X$10,3,0),"")</f>
        <v>GENERAL SANCHEZ CERRO</v>
      </c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  <c r="Q16" s="411"/>
      <c r="R16" s="411"/>
      <c r="S16" s="412"/>
      <c r="T16" s="94"/>
      <c r="U16" s="410" t="str">
        <f>IFERROR(VLOOKUP(L4,DIRECTOR!$A$3:$X$10,4,0),"")</f>
        <v>ICHUÑA</v>
      </c>
      <c r="V16" s="411"/>
      <c r="W16" s="411"/>
      <c r="X16" s="411"/>
      <c r="Y16" s="411"/>
      <c r="Z16" s="411"/>
      <c r="AA16" s="411"/>
      <c r="AB16" s="411"/>
      <c r="AC16" s="412"/>
    </row>
    <row r="17" spans="1:29" ht="7.5" customHeight="1" thickBot="1" x14ac:dyDescent="0.25"/>
    <row r="18" spans="1:29" ht="21.75" thickBot="1" x14ac:dyDescent="0.4">
      <c r="A18" s="90"/>
      <c r="B18" s="398" t="s">
        <v>77</v>
      </c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400"/>
    </row>
    <row r="19" spans="1:29" ht="4.5" customHeight="1" thickBot="1" x14ac:dyDescent="0.25"/>
    <row r="20" spans="1:29" ht="21.75" thickBot="1" x14ac:dyDescent="0.25">
      <c r="B20" s="407" t="str">
        <f>IFERROR(VLOOKUP(L4,DIRECTOR!$A$3:$X$10,2,0),"")</f>
        <v>UGEL SAN IGNACIO DE LOYOLA</v>
      </c>
      <c r="C20" s="408"/>
      <c r="D20" s="408"/>
      <c r="E20" s="408"/>
      <c r="F20" s="408"/>
      <c r="G20" s="408"/>
      <c r="H20" s="408"/>
      <c r="I20" s="408"/>
      <c r="J20" s="408"/>
      <c r="K20" s="408"/>
      <c r="L20" s="408"/>
      <c r="M20" s="408"/>
      <c r="N20" s="408"/>
      <c r="O20" s="408"/>
      <c r="P20" s="408"/>
      <c r="Q20" s="408"/>
      <c r="R20" s="408"/>
      <c r="S20" s="408"/>
      <c r="T20" s="408"/>
      <c r="U20" s="408"/>
      <c r="V20" s="408"/>
      <c r="W20" s="408"/>
      <c r="X20" s="408"/>
      <c r="Y20" s="408"/>
      <c r="Z20" s="408"/>
      <c r="AA20" s="408"/>
      <c r="AB20" s="408"/>
      <c r="AC20" s="409"/>
    </row>
    <row r="21" spans="1:29" ht="5.25" customHeight="1" thickBot="1" x14ac:dyDescent="0.25"/>
    <row r="22" spans="1:29" ht="21.75" thickBot="1" x14ac:dyDescent="0.4">
      <c r="A22" s="90"/>
      <c r="B22" s="398" t="s">
        <v>144</v>
      </c>
      <c r="C22" s="399"/>
      <c r="D22" s="399"/>
      <c r="E22" s="399"/>
      <c r="F22" s="399"/>
      <c r="G22" s="399"/>
      <c r="H22" s="399"/>
      <c r="I22" s="399"/>
      <c r="J22" s="400"/>
      <c r="K22" s="416" t="s">
        <v>144</v>
      </c>
      <c r="L22" s="416"/>
      <c r="M22" s="416"/>
      <c r="N22" s="416"/>
      <c r="O22" s="416"/>
      <c r="P22" s="416"/>
      <c r="Q22" s="416"/>
      <c r="R22" s="416"/>
      <c r="S22" s="416"/>
      <c r="T22" s="91"/>
      <c r="U22" s="417" t="s">
        <v>480</v>
      </c>
      <c r="V22" s="418"/>
      <c r="W22" s="418"/>
      <c r="X22" s="418"/>
      <c r="Y22" s="418"/>
      <c r="Z22" s="418"/>
      <c r="AA22" s="418"/>
      <c r="AB22" s="418"/>
      <c r="AC22" s="419"/>
    </row>
    <row r="23" spans="1:29" ht="2.25" customHeight="1" thickBot="1" x14ac:dyDescent="0.25"/>
    <row r="24" spans="1:29" ht="21.75" thickBot="1" x14ac:dyDescent="0.25">
      <c r="B24" s="413">
        <v>5</v>
      </c>
      <c r="C24" s="414"/>
      <c r="D24" s="414"/>
      <c r="E24" s="414"/>
      <c r="F24" s="414"/>
      <c r="G24" s="414"/>
      <c r="H24" s="414"/>
      <c r="I24" s="414"/>
      <c r="J24" s="415"/>
      <c r="K24" s="420"/>
      <c r="L24" s="420"/>
      <c r="M24" s="420"/>
      <c r="N24" s="420"/>
      <c r="O24" s="420"/>
      <c r="P24" s="420"/>
      <c r="Q24" s="420"/>
      <c r="R24" s="420"/>
      <c r="S24" s="420"/>
      <c r="T24" s="92"/>
      <c r="U24" s="410">
        <f>IFERROR(VLOOKUP(L4,DIRECTOR!$A$3:$AB$10,28,0),"")</f>
        <v>25</v>
      </c>
      <c r="V24" s="411"/>
      <c r="W24" s="411"/>
      <c r="X24" s="411"/>
      <c r="Y24" s="411"/>
      <c r="Z24" s="411"/>
      <c r="AA24" s="411"/>
      <c r="AB24" s="411"/>
      <c r="AC24" s="412"/>
    </row>
  </sheetData>
  <mergeCells count="24">
    <mergeCell ref="U24:AC24"/>
    <mergeCell ref="B20:AC20"/>
    <mergeCell ref="U14:AC14"/>
    <mergeCell ref="U16:AC16"/>
    <mergeCell ref="B24:J24"/>
    <mergeCell ref="K22:S22"/>
    <mergeCell ref="U22:AC22"/>
    <mergeCell ref="B18:AC18"/>
    <mergeCell ref="B14:S14"/>
    <mergeCell ref="B16:S16"/>
    <mergeCell ref="B22:J22"/>
    <mergeCell ref="K24:S24"/>
    <mergeCell ref="A1:AC1"/>
    <mergeCell ref="A2:AC2"/>
    <mergeCell ref="B10:J10"/>
    <mergeCell ref="B12:J12"/>
    <mergeCell ref="L3:S3"/>
    <mergeCell ref="L4:S4"/>
    <mergeCell ref="B8:X8"/>
    <mergeCell ref="Z8:AC8"/>
    <mergeCell ref="L10:AC10"/>
    <mergeCell ref="L12:AC12"/>
    <mergeCell ref="B6:X6"/>
    <mergeCell ref="Z6:AC6"/>
  </mergeCells>
  <printOptions horizontalCentered="1"/>
  <pageMargins left="0.43307086614173229" right="0.35433070866141736" top="0.74803149606299213" bottom="0.74803149606299213" header="0.31496062992125984" footer="0.31496062992125984"/>
  <pageSetup paperSize="9" orientation="portrait" horizontalDpi="4294967292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3A1E3-F694-442A-B706-459CF4B34500}">
  <sheetPr codeName="Hoja1">
    <tabColor rgb="FF92D050"/>
    <pageSetUpPr fitToPage="1"/>
  </sheetPr>
  <dimension ref="B1:R114"/>
  <sheetViews>
    <sheetView topLeftCell="A16" zoomScaleNormal="100" zoomScaleSheetLayoutView="100" workbookViewId="0">
      <selection activeCell="B97" sqref="B97"/>
    </sheetView>
  </sheetViews>
  <sheetFormatPr baseColWidth="10" defaultColWidth="11.42578125" defaultRowHeight="13.5" x14ac:dyDescent="0.25"/>
  <cols>
    <col min="1" max="1" width="2.85546875" style="5" customWidth="1"/>
    <col min="2" max="2" width="4.7109375" style="5" customWidth="1"/>
    <col min="3" max="3" width="7.140625" style="5" hidden="1" customWidth="1"/>
    <col min="4" max="4" width="17.85546875" style="142" customWidth="1"/>
    <col min="5" max="5" width="16.5703125" style="142" customWidth="1"/>
    <col min="6" max="6" width="14.85546875" style="142" customWidth="1"/>
    <col min="7" max="7" width="14.5703125" style="5" customWidth="1"/>
    <col min="8" max="8" width="10.7109375" style="5" customWidth="1"/>
    <col min="9" max="9" width="12.28515625" style="5" customWidth="1"/>
    <col min="10" max="10" width="10.7109375" style="5" customWidth="1"/>
    <col min="11" max="11" width="14.85546875" style="5" customWidth="1"/>
    <col min="12" max="12" width="11.140625" style="5" customWidth="1"/>
    <col min="13" max="13" width="12.7109375" style="5" customWidth="1"/>
    <col min="14" max="14" width="11.28515625" style="5" customWidth="1"/>
    <col min="15" max="15" width="7.7109375" style="5" customWidth="1"/>
    <col min="16" max="16" width="10.7109375" style="5" customWidth="1"/>
    <col min="17" max="17" width="6.7109375" style="5" customWidth="1"/>
    <col min="18" max="18" width="10.7109375" style="5" customWidth="1"/>
    <col min="19" max="16384" width="11.42578125" style="5"/>
  </cols>
  <sheetData>
    <row r="1" spans="2:18" ht="32.25" customHeight="1" x14ac:dyDescent="0.25">
      <c r="B1" s="40"/>
      <c r="C1" s="40"/>
      <c r="D1" s="140"/>
      <c r="E1" s="140"/>
      <c r="F1" s="140"/>
      <c r="G1" s="40"/>
      <c r="H1" s="40"/>
      <c r="I1" s="40"/>
      <c r="J1" s="40"/>
      <c r="K1" s="40"/>
      <c r="L1" s="40"/>
      <c r="M1" s="40"/>
      <c r="N1" s="41" t="s">
        <v>18</v>
      </c>
      <c r="O1" s="40"/>
      <c r="P1" s="41" t="s">
        <v>34</v>
      </c>
      <c r="Q1" s="40"/>
      <c r="R1" s="40"/>
    </row>
    <row r="2" spans="2:18" ht="18" x14ac:dyDescent="0.25">
      <c r="B2" s="426" t="s">
        <v>82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</row>
    <row r="3" spans="2:18" ht="18" x14ac:dyDescent="0.25">
      <c r="B3" s="42"/>
      <c r="C3" s="42"/>
      <c r="D3" s="141"/>
      <c r="E3" s="141"/>
      <c r="F3" s="141"/>
      <c r="G3" s="42"/>
      <c r="H3" s="42"/>
      <c r="I3" s="42"/>
      <c r="J3" s="42"/>
      <c r="K3" s="42"/>
      <c r="L3" s="42"/>
      <c r="M3" s="42"/>
      <c r="N3" s="42"/>
    </row>
    <row r="4" spans="2:18" ht="18.75" thickBot="1" x14ac:dyDescent="0.3">
      <c r="B4" s="153" t="str">
        <f>INICIO!B8</f>
        <v>ANTONIO RAYMONDI</v>
      </c>
      <c r="C4" s="153"/>
      <c r="H4" s="274" t="str">
        <f>INICIO!Z8</f>
        <v>JER-EIB</v>
      </c>
    </row>
    <row r="5" spans="2:18" s="4" customFormat="1" ht="18" customHeight="1" x14ac:dyDescent="0.2">
      <c r="B5" s="439" t="s">
        <v>339</v>
      </c>
      <c r="C5" s="440"/>
      <c r="D5" s="441"/>
      <c r="E5" s="433" t="s">
        <v>0</v>
      </c>
      <c r="F5" s="435" t="s">
        <v>1</v>
      </c>
      <c r="G5" s="435" t="s">
        <v>2</v>
      </c>
      <c r="H5" s="435" t="s">
        <v>3</v>
      </c>
      <c r="I5" s="451" t="s">
        <v>4</v>
      </c>
      <c r="J5" s="449" t="s">
        <v>5</v>
      </c>
      <c r="L5" s="286" t="s">
        <v>83</v>
      </c>
    </row>
    <row r="6" spans="2:18" s="4" customFormat="1" ht="18" customHeight="1" thickBot="1" x14ac:dyDescent="0.25">
      <c r="B6" s="442"/>
      <c r="C6" s="443"/>
      <c r="D6" s="444"/>
      <c r="E6" s="434"/>
      <c r="F6" s="436"/>
      <c r="G6" s="436"/>
      <c r="H6" s="436"/>
      <c r="I6" s="452"/>
      <c r="J6" s="450"/>
      <c r="L6" s="438" t="s">
        <v>304</v>
      </c>
    </row>
    <row r="7" spans="2:18" s="4" customFormat="1" ht="18" customHeight="1" x14ac:dyDescent="0.2">
      <c r="B7" s="427" t="s">
        <v>29</v>
      </c>
      <c r="C7" s="428"/>
      <c r="D7" s="429"/>
      <c r="E7" s="43">
        <v>8</v>
      </c>
      <c r="F7" s="43">
        <v>10</v>
      </c>
      <c r="G7" s="43">
        <v>8</v>
      </c>
      <c r="H7" s="43">
        <v>12</v>
      </c>
      <c r="I7" s="43">
        <v>3</v>
      </c>
      <c r="J7" s="157">
        <f>SUM(E7:I7)</f>
        <v>41</v>
      </c>
      <c r="L7" s="438"/>
      <c r="M7" s="129">
        <v>35</v>
      </c>
    </row>
    <row r="8" spans="2:18" s="4" customFormat="1" ht="18" customHeight="1" thickBot="1" x14ac:dyDescent="0.25">
      <c r="B8" s="446" t="s">
        <v>30</v>
      </c>
      <c r="C8" s="447"/>
      <c r="D8" s="448"/>
      <c r="E8" s="44">
        <v>1</v>
      </c>
      <c r="F8" s="44">
        <v>1</v>
      </c>
      <c r="G8" s="44">
        <v>1</v>
      </c>
      <c r="H8" s="44">
        <v>1</v>
      </c>
      <c r="I8" s="45">
        <v>1</v>
      </c>
      <c r="J8" s="158">
        <f>SUM(E8:I8)</f>
        <v>5</v>
      </c>
      <c r="L8" s="438"/>
    </row>
    <row r="9" spans="2:18" s="4" customFormat="1" ht="18" customHeight="1" thickBot="1" x14ac:dyDescent="0.25">
      <c r="B9" s="103" t="s">
        <v>31</v>
      </c>
      <c r="C9" s="234"/>
      <c r="D9" s="143"/>
      <c r="E9" s="159">
        <f>E8*$M$7</f>
        <v>35</v>
      </c>
      <c r="F9" s="159">
        <f>F8*$M$7</f>
        <v>35</v>
      </c>
      <c r="G9" s="159">
        <f>G8*$M$7</f>
        <v>35</v>
      </c>
      <c r="H9" s="159">
        <f>H8*$M$7</f>
        <v>35</v>
      </c>
      <c r="I9" s="159">
        <f>I8*$M$7</f>
        <v>35</v>
      </c>
      <c r="J9" s="160">
        <f>SUM(E9:I9)</f>
        <v>175</v>
      </c>
    </row>
    <row r="10" spans="2:18" s="4" customFormat="1" ht="18" customHeight="1" thickBot="1" x14ac:dyDescent="0.25">
      <c r="B10" s="103" t="s">
        <v>145</v>
      </c>
      <c r="C10" s="234"/>
      <c r="D10" s="143"/>
      <c r="E10" s="161">
        <f>+E9/24</f>
        <v>1.4583333333333333</v>
      </c>
      <c r="F10" s="161">
        <f>+F9/24</f>
        <v>1.4583333333333333</v>
      </c>
      <c r="G10" s="161">
        <f>+G9/24</f>
        <v>1.4583333333333333</v>
      </c>
      <c r="H10" s="161">
        <f>+H9/24</f>
        <v>1.4583333333333333</v>
      </c>
      <c r="I10" s="161">
        <f>+I9/24</f>
        <v>1.4583333333333333</v>
      </c>
      <c r="J10" s="162">
        <f>SUM(E10:I10)</f>
        <v>7.2916666666666661</v>
      </c>
      <c r="K10" s="139"/>
    </row>
    <row r="12" spans="2:18" ht="18.75" thickBot="1" x14ac:dyDescent="0.3">
      <c r="B12" s="86" t="str">
        <f>+"CARGOS PRESUPUESTADOS EN LA INSTITUCIÓN EDUCATIVA: "&amp;B4</f>
        <v>CARGOS PRESUPUESTADOS EN LA INSTITUCIÓN EDUCATIVA: ANTONIO RAYMONDI</v>
      </c>
      <c r="C12" s="86"/>
    </row>
    <row r="13" spans="2:18" s="4" customFormat="1" ht="45" customHeight="1" x14ac:dyDescent="0.2">
      <c r="B13" s="237" t="s">
        <v>25</v>
      </c>
      <c r="C13" s="238"/>
      <c r="D13" s="430" t="s">
        <v>22</v>
      </c>
      <c r="E13" s="431"/>
      <c r="F13" s="432"/>
      <c r="G13" s="239" t="s">
        <v>50</v>
      </c>
      <c r="H13" s="453" t="s">
        <v>21</v>
      </c>
      <c r="I13" s="455"/>
      <c r="J13" s="454"/>
      <c r="K13" s="240" t="s">
        <v>23</v>
      </c>
      <c r="L13" s="453" t="s">
        <v>24</v>
      </c>
      <c r="M13" s="454"/>
      <c r="N13" s="89" t="s">
        <v>107</v>
      </c>
    </row>
    <row r="14" spans="2:18" s="4" customFormat="1" ht="18" customHeight="1" x14ac:dyDescent="0.2">
      <c r="B14" s="152">
        <v>1</v>
      </c>
      <c r="C14" s="241" t="str">
        <f>IFERROR(VLOOKUP($B$4&amp;$H$4&amp;$B14,DATA!$B$3:$AB$55,12,FALSE),"")</f>
        <v>DIRECTOR I.E.</v>
      </c>
      <c r="D14" s="445" t="str">
        <f>C14</f>
        <v>DIRECTOR I.E.</v>
      </c>
      <c r="E14" s="445"/>
      <c r="F14" s="445"/>
      <c r="G14" s="104" t="str">
        <f>"Ley 29944"</f>
        <v>Ley 29944</v>
      </c>
      <c r="H14" s="437" t="s">
        <v>487</v>
      </c>
      <c r="I14" s="437"/>
      <c r="J14" s="437"/>
      <c r="K14" s="381" t="str">
        <f>IFERROR(VLOOKUP($B$4&amp;$H$4&amp;$B14,DATA!$B$3:$AB$55,9,FALSE),"")</f>
        <v>1171114020N6</v>
      </c>
      <c r="L14" s="437" t="s">
        <v>488</v>
      </c>
      <c r="M14" s="437"/>
      <c r="N14" s="104"/>
    </row>
    <row r="15" spans="2:18" s="4" customFormat="1" ht="18" customHeight="1" x14ac:dyDescent="0.2">
      <c r="B15" s="152">
        <v>2</v>
      </c>
      <c r="C15" s="241" t="str">
        <f>IFERROR(VLOOKUP($B$4&amp;$H$4&amp;$B15,DATA!$B$3:$AB$55,12,FALSE),"")</f>
        <v>PROFESOR</v>
      </c>
      <c r="D15" s="445" t="s">
        <v>101</v>
      </c>
      <c r="E15" s="445"/>
      <c r="F15" s="445"/>
      <c r="G15" s="104" t="str">
        <f t="shared" ref="G15:G26" si="0">"Ley 29944"</f>
        <v>Ley 29944</v>
      </c>
      <c r="H15" s="437" t="s">
        <v>489</v>
      </c>
      <c r="I15" s="437"/>
      <c r="J15" s="437"/>
      <c r="K15" s="381" t="s">
        <v>219</v>
      </c>
      <c r="L15" s="437" t="s">
        <v>490</v>
      </c>
      <c r="M15" s="437"/>
      <c r="N15" s="104"/>
    </row>
    <row r="16" spans="2:18" s="4" customFormat="1" ht="18" customHeight="1" x14ac:dyDescent="0.2">
      <c r="B16" s="152">
        <v>3</v>
      </c>
      <c r="C16" s="241" t="str">
        <f>IFERROR(VLOOKUP($B$4&amp;$H$4&amp;$B16,DATA!$B$3:$AB$55,12,FALSE),"")</f>
        <v>PROFESOR</v>
      </c>
      <c r="D16" s="445" t="s">
        <v>101</v>
      </c>
      <c r="E16" s="445"/>
      <c r="F16" s="445"/>
      <c r="G16" s="104" t="str">
        <f t="shared" si="0"/>
        <v>Ley 29944</v>
      </c>
      <c r="H16" s="437" t="s">
        <v>489</v>
      </c>
      <c r="I16" s="437"/>
      <c r="J16" s="437"/>
      <c r="K16" s="381" t="s">
        <v>208</v>
      </c>
      <c r="L16" s="437" t="s">
        <v>490</v>
      </c>
      <c r="M16" s="437"/>
      <c r="N16" s="104"/>
    </row>
    <row r="17" spans="2:14" s="4" customFormat="1" ht="18" customHeight="1" x14ac:dyDescent="0.2">
      <c r="B17" s="152">
        <v>4</v>
      </c>
      <c r="C17" s="241" t="str">
        <f>IFERROR(VLOOKUP($B$4&amp;$H$4&amp;$B17,DATA!$B$3:$AB$55,12,FALSE),"")</f>
        <v>PROFESOR</v>
      </c>
      <c r="D17" s="445" t="s">
        <v>101</v>
      </c>
      <c r="E17" s="445"/>
      <c r="F17" s="445"/>
      <c r="G17" s="104" t="str">
        <f t="shared" si="0"/>
        <v>Ley 29944</v>
      </c>
      <c r="H17" s="437" t="s">
        <v>489</v>
      </c>
      <c r="I17" s="437"/>
      <c r="J17" s="437"/>
      <c r="K17" s="381" t="s">
        <v>216</v>
      </c>
      <c r="L17" s="437" t="s">
        <v>490</v>
      </c>
      <c r="M17" s="437"/>
      <c r="N17" s="104"/>
    </row>
    <row r="18" spans="2:14" s="4" customFormat="1" ht="18" customHeight="1" x14ac:dyDescent="0.2">
      <c r="B18" s="152">
        <v>5</v>
      </c>
      <c r="C18" s="241" t="str">
        <f>IFERROR(VLOOKUP($B$4&amp;$H$4&amp;$B18,DATA!$B$3:$AB$55,12,FALSE),"")</f>
        <v>PROFESOR</v>
      </c>
      <c r="D18" s="445" t="s">
        <v>101</v>
      </c>
      <c r="E18" s="445"/>
      <c r="F18" s="445"/>
      <c r="G18" s="104" t="str">
        <f t="shared" si="0"/>
        <v>Ley 29944</v>
      </c>
      <c r="H18" s="437" t="s">
        <v>489</v>
      </c>
      <c r="I18" s="437"/>
      <c r="J18" s="437"/>
      <c r="K18" s="381" t="s">
        <v>210</v>
      </c>
      <c r="L18" s="437" t="s">
        <v>490</v>
      </c>
      <c r="M18" s="437"/>
      <c r="N18" s="104"/>
    </row>
    <row r="19" spans="2:14" s="4" customFormat="1" ht="18" customHeight="1" x14ac:dyDescent="0.2">
      <c r="B19" s="152">
        <v>6</v>
      </c>
      <c r="C19" s="241" t="str">
        <f>IFERROR(VLOOKUP($B$4&amp;$H$4&amp;$B19,DATA!$B$3:$AB$55,12,FALSE),"")</f>
        <v>PROFESOR</v>
      </c>
      <c r="D19" s="445" t="s">
        <v>101</v>
      </c>
      <c r="E19" s="445"/>
      <c r="F19" s="445"/>
      <c r="G19" s="104" t="str">
        <f t="shared" si="0"/>
        <v>Ley 29944</v>
      </c>
      <c r="H19" s="437" t="s">
        <v>489</v>
      </c>
      <c r="I19" s="437"/>
      <c r="J19" s="437"/>
      <c r="K19" s="381" t="s">
        <v>205</v>
      </c>
      <c r="L19" s="437" t="s">
        <v>490</v>
      </c>
      <c r="M19" s="437"/>
      <c r="N19" s="104"/>
    </row>
    <row r="20" spans="2:14" s="4" customFormat="1" ht="18" customHeight="1" x14ac:dyDescent="0.2">
      <c r="B20" s="152">
        <v>7</v>
      </c>
      <c r="C20" s="241" t="str">
        <f>IFERROR(VLOOKUP($B$4&amp;$H$4&amp;$B20,DATA!$B$3:$AB$55,12,FALSE),"")</f>
        <v/>
      </c>
      <c r="D20" s="445" t="s">
        <v>101</v>
      </c>
      <c r="E20" s="445"/>
      <c r="F20" s="445"/>
      <c r="G20" s="104" t="str">
        <f t="shared" si="0"/>
        <v>Ley 29944</v>
      </c>
      <c r="H20" s="437" t="s">
        <v>489</v>
      </c>
      <c r="I20" s="437"/>
      <c r="J20" s="437"/>
      <c r="K20" s="381" t="s">
        <v>214</v>
      </c>
      <c r="L20" s="437" t="s">
        <v>490</v>
      </c>
      <c r="M20" s="437"/>
      <c r="N20" s="104"/>
    </row>
    <row r="21" spans="2:14" s="4" customFormat="1" ht="18" customHeight="1" x14ac:dyDescent="0.2">
      <c r="B21" s="152">
        <v>8</v>
      </c>
      <c r="C21" s="241" t="str">
        <f>IFERROR(VLOOKUP($B$4&amp;$H$4&amp;$B21,DATA!$B$3:$AB$55,12,FALSE),"")</f>
        <v/>
      </c>
      <c r="D21" s="445" t="s">
        <v>101</v>
      </c>
      <c r="E21" s="445"/>
      <c r="F21" s="445"/>
      <c r="G21" s="104" t="str">
        <f t="shared" si="0"/>
        <v>Ley 29944</v>
      </c>
      <c r="H21" s="437" t="s">
        <v>489</v>
      </c>
      <c r="I21" s="437"/>
      <c r="J21" s="437"/>
      <c r="K21" s="381" t="s">
        <v>499</v>
      </c>
      <c r="L21" s="437" t="s">
        <v>490</v>
      </c>
      <c r="M21" s="437"/>
      <c r="N21" s="104"/>
    </row>
    <row r="22" spans="2:14" s="4" customFormat="1" ht="18" customHeight="1" x14ac:dyDescent="0.2">
      <c r="B22" s="152">
        <v>9</v>
      </c>
      <c r="C22" s="241" t="str">
        <f>IFERROR(VLOOKUP($B$4&amp;$H$4&amp;$B22,DATA!$B$3:$AB$55,12,FALSE),"")</f>
        <v/>
      </c>
      <c r="D22" s="445" t="s">
        <v>101</v>
      </c>
      <c r="E22" s="445"/>
      <c r="F22" s="445"/>
      <c r="G22" s="104" t="str">
        <f t="shared" si="0"/>
        <v>Ley 29944</v>
      </c>
      <c r="H22" s="437" t="s">
        <v>489</v>
      </c>
      <c r="I22" s="437"/>
      <c r="J22" s="437"/>
      <c r="K22" s="381" t="s">
        <v>499</v>
      </c>
      <c r="L22" s="437" t="s">
        <v>490</v>
      </c>
      <c r="M22" s="437"/>
      <c r="N22" s="104"/>
    </row>
    <row r="23" spans="2:14" s="4" customFormat="1" ht="18" customHeight="1" x14ac:dyDescent="0.2">
      <c r="B23" s="152">
        <v>10</v>
      </c>
      <c r="C23" s="241" t="str">
        <f>IFERROR(VLOOKUP($B$4&amp;$H$4&amp;$B23,DATA!$B$3:$AB$55,12,FALSE),"")</f>
        <v/>
      </c>
      <c r="D23" s="445" t="s">
        <v>101</v>
      </c>
      <c r="E23" s="445"/>
      <c r="F23" s="445"/>
      <c r="G23" s="104" t="str">
        <f t="shared" si="0"/>
        <v>Ley 29944</v>
      </c>
      <c r="H23" s="437" t="s">
        <v>489</v>
      </c>
      <c r="I23" s="437"/>
      <c r="J23" s="437"/>
      <c r="K23" s="381" t="s">
        <v>499</v>
      </c>
      <c r="L23" s="437" t="s">
        <v>490</v>
      </c>
      <c r="M23" s="437"/>
      <c r="N23" s="104"/>
    </row>
    <row r="24" spans="2:14" s="4" customFormat="1" ht="18" customHeight="1" x14ac:dyDescent="0.2">
      <c r="B24" s="152">
        <v>11</v>
      </c>
      <c r="C24" s="241" t="str">
        <f>IFERROR(VLOOKUP($B$4&amp;$H$4&amp;$B24,DATA!$B$3:$AB$55,12,FALSE),"")</f>
        <v/>
      </c>
      <c r="D24" s="445" t="str">
        <f t="shared" ref="D24:D26" si="1">C24</f>
        <v/>
      </c>
      <c r="E24" s="445"/>
      <c r="F24" s="445"/>
      <c r="G24" s="104" t="str">
        <f t="shared" si="0"/>
        <v>Ley 29944</v>
      </c>
      <c r="H24" s="437"/>
      <c r="I24" s="437"/>
      <c r="J24" s="437"/>
      <c r="K24" s="381" t="str">
        <f>IFERROR(VLOOKUP($B$4&amp;$H$4&amp;$B24,DATA!$B$3:$AB$55,9,FALSE),"")</f>
        <v/>
      </c>
      <c r="L24" s="437"/>
      <c r="M24" s="437"/>
      <c r="N24" s="104"/>
    </row>
    <row r="25" spans="2:14" s="4" customFormat="1" ht="18" customHeight="1" x14ac:dyDescent="0.2">
      <c r="B25" s="152">
        <v>12</v>
      </c>
      <c r="C25" s="241" t="str">
        <f>IFERROR(VLOOKUP($B$4&amp;$H$4&amp;$B25,DATA!$B$3:$AB$55,12,FALSE),"")</f>
        <v/>
      </c>
      <c r="D25" s="445" t="str">
        <f t="shared" si="1"/>
        <v/>
      </c>
      <c r="E25" s="445"/>
      <c r="F25" s="445"/>
      <c r="G25" s="104" t="str">
        <f t="shared" si="0"/>
        <v>Ley 29944</v>
      </c>
      <c r="H25" s="437"/>
      <c r="I25" s="437"/>
      <c r="J25" s="437"/>
      <c r="K25" s="381" t="str">
        <f>IFERROR(VLOOKUP($B$4&amp;$H$4&amp;$B25,DATA!$B$3:$AB$55,9,FALSE),"")</f>
        <v/>
      </c>
      <c r="L25" s="437"/>
      <c r="M25" s="437"/>
      <c r="N25" s="104"/>
    </row>
    <row r="26" spans="2:14" s="4" customFormat="1" ht="18" customHeight="1" x14ac:dyDescent="0.2">
      <c r="B26" s="152">
        <v>13</v>
      </c>
      <c r="C26" s="241" t="str">
        <f>IFERROR(VLOOKUP($B$4&amp;$H$4&amp;$B26,DATA!$B$3:$AB$55,12,FALSE),"")</f>
        <v/>
      </c>
      <c r="D26" s="445" t="str">
        <f t="shared" si="1"/>
        <v/>
      </c>
      <c r="E26" s="445"/>
      <c r="F26" s="445"/>
      <c r="G26" s="104" t="str">
        <f t="shared" si="0"/>
        <v>Ley 29944</v>
      </c>
      <c r="H26" s="437"/>
      <c r="I26" s="437"/>
      <c r="J26" s="437"/>
      <c r="K26" s="381" t="str">
        <f>IFERROR(VLOOKUP($B$4&amp;$H$4&amp;$B26,DATA!$B$3:$AB$55,9,FALSE),"")</f>
        <v/>
      </c>
      <c r="L26" s="437"/>
      <c r="M26" s="437"/>
      <c r="N26" s="104"/>
    </row>
    <row r="27" spans="2:14" s="4" customFormat="1" ht="18" customHeight="1" x14ac:dyDescent="0.2">
      <c r="B27" s="8"/>
      <c r="C27" s="8"/>
      <c r="D27" s="144"/>
      <c r="E27" s="144"/>
      <c r="F27" s="144"/>
      <c r="G27" s="8"/>
      <c r="H27" s="8"/>
      <c r="I27" s="8"/>
      <c r="J27" s="8"/>
      <c r="K27" s="56"/>
      <c r="L27" s="8"/>
      <c r="M27" s="8"/>
      <c r="N27" s="8"/>
    </row>
    <row r="28" spans="2:14" ht="18.75" hidden="1" thickBot="1" x14ac:dyDescent="0.3">
      <c r="B28" s="86" t="str">
        <f>+"CARGOS PRESUPUESTADOS EN LA INSTITUCIÓN EDUCATIVA: "&amp;'Anexo 05'!E5</f>
        <v>CARGOS PRESUPUESTADOS EN LA INSTITUCIÓN EDUCATIVA: ANTONIO RAYMONDI</v>
      </c>
      <c r="C28" s="86"/>
    </row>
    <row r="29" spans="2:14" s="4" customFormat="1" ht="45" hidden="1" customHeight="1" thickBot="1" x14ac:dyDescent="0.25">
      <c r="B29" s="244" t="s">
        <v>25</v>
      </c>
      <c r="C29" s="242"/>
      <c r="D29" s="464" t="s">
        <v>22</v>
      </c>
      <c r="E29" s="465"/>
      <c r="F29" s="466"/>
      <c r="G29" s="245" t="s">
        <v>50</v>
      </c>
      <c r="H29" s="458" t="s">
        <v>21</v>
      </c>
      <c r="I29" s="472"/>
      <c r="J29" s="459"/>
      <c r="K29" s="246" t="s">
        <v>23</v>
      </c>
      <c r="L29" s="458" t="s">
        <v>24</v>
      </c>
      <c r="M29" s="459"/>
      <c r="N29" s="294" t="s">
        <v>107</v>
      </c>
    </row>
    <row r="30" spans="2:14" s="4" customFormat="1" ht="18" hidden="1" customHeight="1" x14ac:dyDescent="0.2">
      <c r="B30" s="111">
        <v>22</v>
      </c>
      <c r="C30" s="43" t="str">
        <f>IFERROR(VLOOKUP($B$4&amp;$H$4&amp;$B30,DATA!$B$39:$AB$55,12,FALSE),"")</f>
        <v/>
      </c>
      <c r="D30" s="471" t="str">
        <f>C30</f>
        <v/>
      </c>
      <c r="E30" s="471"/>
      <c r="F30" s="471"/>
      <c r="G30" s="43"/>
      <c r="H30" s="460"/>
      <c r="I30" s="460"/>
      <c r="J30" s="460"/>
      <c r="K30" s="49"/>
      <c r="L30" s="460"/>
      <c r="M30" s="460"/>
      <c r="N30" s="50"/>
    </row>
    <row r="31" spans="2:14" s="4" customFormat="1" ht="18" hidden="1" customHeight="1" x14ac:dyDescent="0.2">
      <c r="B31" s="51">
        <v>23</v>
      </c>
      <c r="C31" s="104" t="str">
        <f>IFERROR(VLOOKUP($B$4&amp;$H$4&amp;$B31,DATA!$B$39:$AB$55,12,FALSE),"")</f>
        <v/>
      </c>
      <c r="D31" s="421" t="str">
        <f t="shared" ref="D31:D61" si="2">C31</f>
        <v/>
      </c>
      <c r="E31" s="421"/>
      <c r="F31" s="421"/>
      <c r="G31" s="174"/>
      <c r="H31" s="425"/>
      <c r="I31" s="425"/>
      <c r="J31" s="425"/>
      <c r="K31" s="52"/>
      <c r="L31" s="425"/>
      <c r="M31" s="425"/>
      <c r="N31" s="53"/>
    </row>
    <row r="32" spans="2:14" s="4" customFormat="1" ht="18" hidden="1" customHeight="1" x14ac:dyDescent="0.2">
      <c r="B32" s="51">
        <v>24</v>
      </c>
      <c r="C32" s="104" t="str">
        <f>IFERROR(VLOOKUP($B$4&amp;$H$4&amp;$B32,DATA!$B$39:$AB$55,12,FALSE),"")</f>
        <v/>
      </c>
      <c r="D32" s="421" t="str">
        <f t="shared" si="2"/>
        <v/>
      </c>
      <c r="E32" s="421"/>
      <c r="F32" s="421"/>
      <c r="G32" s="174"/>
      <c r="H32" s="425"/>
      <c r="I32" s="425"/>
      <c r="J32" s="425"/>
      <c r="K32" s="52"/>
      <c r="L32" s="425"/>
      <c r="M32" s="425"/>
      <c r="N32" s="53"/>
    </row>
    <row r="33" spans="2:14" s="4" customFormat="1" ht="18" hidden="1" customHeight="1" x14ac:dyDescent="0.2">
      <c r="B33" s="51">
        <v>25</v>
      </c>
      <c r="C33" s="104" t="str">
        <f>IFERROR(VLOOKUP($B$4&amp;$H$4&amp;$B33,DATA!$B$39:$AB$55,12,FALSE),"")</f>
        <v/>
      </c>
      <c r="D33" s="421" t="str">
        <f t="shared" si="2"/>
        <v/>
      </c>
      <c r="E33" s="421"/>
      <c r="F33" s="421"/>
      <c r="G33" s="174"/>
      <c r="H33" s="425"/>
      <c r="I33" s="425"/>
      <c r="J33" s="425"/>
      <c r="K33" s="52"/>
      <c r="L33" s="425"/>
      <c r="M33" s="425"/>
      <c r="N33" s="53"/>
    </row>
    <row r="34" spans="2:14" s="4" customFormat="1" ht="18" hidden="1" customHeight="1" x14ac:dyDescent="0.2">
      <c r="B34" s="51">
        <v>26</v>
      </c>
      <c r="C34" s="104" t="str">
        <f>IFERROR(VLOOKUP($B$4&amp;$H$4&amp;$B34,DATA!$B$39:$AB$55,12,FALSE),"")</f>
        <v/>
      </c>
      <c r="D34" s="421" t="str">
        <f t="shared" si="2"/>
        <v/>
      </c>
      <c r="E34" s="421"/>
      <c r="F34" s="421"/>
      <c r="G34" s="174"/>
      <c r="H34" s="425"/>
      <c r="I34" s="425"/>
      <c r="J34" s="425"/>
      <c r="K34" s="52"/>
      <c r="L34" s="425"/>
      <c r="M34" s="425"/>
      <c r="N34" s="53"/>
    </row>
    <row r="35" spans="2:14" s="4" customFormat="1" ht="18" hidden="1" customHeight="1" x14ac:dyDescent="0.2">
      <c r="B35" s="51">
        <v>27</v>
      </c>
      <c r="C35" s="104" t="str">
        <f>IFERROR(VLOOKUP($B$4&amp;$H$4&amp;$B35,DATA!$B$39:$AB$55,12,FALSE),"")</f>
        <v/>
      </c>
      <c r="D35" s="421" t="str">
        <f t="shared" si="2"/>
        <v/>
      </c>
      <c r="E35" s="421"/>
      <c r="F35" s="421"/>
      <c r="G35" s="174"/>
      <c r="H35" s="425"/>
      <c r="I35" s="425"/>
      <c r="J35" s="425"/>
      <c r="K35" s="52"/>
      <c r="L35" s="425"/>
      <c r="M35" s="425"/>
      <c r="N35" s="53"/>
    </row>
    <row r="36" spans="2:14" s="4" customFormat="1" ht="18" hidden="1" customHeight="1" x14ac:dyDescent="0.2">
      <c r="B36" s="51">
        <v>28</v>
      </c>
      <c r="C36" s="104" t="str">
        <f>IFERROR(VLOOKUP($B$4&amp;$H$4&amp;$B36,DATA!$B$39:$AB$55,12,FALSE),"")</f>
        <v/>
      </c>
      <c r="D36" s="421" t="str">
        <f t="shared" si="2"/>
        <v/>
      </c>
      <c r="E36" s="421"/>
      <c r="F36" s="421"/>
      <c r="G36" s="174"/>
      <c r="H36" s="425"/>
      <c r="I36" s="425"/>
      <c r="J36" s="425"/>
      <c r="K36" s="52"/>
      <c r="L36" s="425"/>
      <c r="M36" s="425"/>
      <c r="N36" s="53"/>
    </row>
    <row r="37" spans="2:14" s="4" customFormat="1" ht="18" hidden="1" customHeight="1" x14ac:dyDescent="0.2">
      <c r="B37" s="51">
        <v>29</v>
      </c>
      <c r="C37" s="104" t="str">
        <f>IFERROR(VLOOKUP($B$4&amp;$H$4&amp;$B37,DATA!$B$39:$AB$55,12,FALSE),"")</f>
        <v/>
      </c>
      <c r="D37" s="421" t="str">
        <f t="shared" si="2"/>
        <v/>
      </c>
      <c r="E37" s="421"/>
      <c r="F37" s="421"/>
      <c r="G37" s="174"/>
      <c r="H37" s="425"/>
      <c r="I37" s="425"/>
      <c r="J37" s="425"/>
      <c r="K37" s="52"/>
      <c r="L37" s="425"/>
      <c r="M37" s="425"/>
      <c r="N37" s="53"/>
    </row>
    <row r="38" spans="2:14" s="4" customFormat="1" ht="18" hidden="1" customHeight="1" x14ac:dyDescent="0.2">
      <c r="B38" s="51">
        <v>30</v>
      </c>
      <c r="C38" s="104" t="str">
        <f>IFERROR(VLOOKUP($B$4&amp;$H$4&amp;$B38,DATA!$B$39:$AB$55,12,FALSE),"")</f>
        <v/>
      </c>
      <c r="D38" s="421" t="str">
        <f t="shared" si="2"/>
        <v/>
      </c>
      <c r="E38" s="421"/>
      <c r="F38" s="421"/>
      <c r="G38" s="174"/>
      <c r="H38" s="425"/>
      <c r="I38" s="425"/>
      <c r="J38" s="425"/>
      <c r="K38" s="52"/>
      <c r="L38" s="425"/>
      <c r="M38" s="425"/>
      <c r="N38" s="53"/>
    </row>
    <row r="39" spans="2:14" s="4" customFormat="1" ht="18" hidden="1" customHeight="1" x14ac:dyDescent="0.2">
      <c r="B39" s="51">
        <v>31</v>
      </c>
      <c r="C39" s="104" t="str">
        <f>IFERROR(VLOOKUP($B$4&amp;$H$4&amp;$B39,DATA!$B$39:$AB$55,12,FALSE),"")</f>
        <v/>
      </c>
      <c r="D39" s="421" t="str">
        <f t="shared" si="2"/>
        <v/>
      </c>
      <c r="E39" s="421"/>
      <c r="F39" s="421"/>
      <c r="G39" s="174"/>
      <c r="H39" s="425"/>
      <c r="I39" s="425"/>
      <c r="J39" s="425"/>
      <c r="K39" s="52"/>
      <c r="L39" s="425"/>
      <c r="M39" s="425"/>
      <c r="N39" s="53"/>
    </row>
    <row r="40" spans="2:14" s="4" customFormat="1" ht="18" hidden="1" customHeight="1" x14ac:dyDescent="0.2">
      <c r="B40" s="51">
        <v>32</v>
      </c>
      <c r="C40" s="104" t="str">
        <f>IFERROR(VLOOKUP($B$4&amp;$H$4&amp;$B40,DATA!$B$39:$AB$55,12,FALSE),"")</f>
        <v/>
      </c>
      <c r="D40" s="421" t="str">
        <f t="shared" si="2"/>
        <v/>
      </c>
      <c r="E40" s="421"/>
      <c r="F40" s="421"/>
      <c r="G40" s="174"/>
      <c r="H40" s="425"/>
      <c r="I40" s="425"/>
      <c r="J40" s="425"/>
      <c r="K40" s="52"/>
      <c r="L40" s="425"/>
      <c r="M40" s="425"/>
      <c r="N40" s="53"/>
    </row>
    <row r="41" spans="2:14" s="4" customFormat="1" ht="18" hidden="1" customHeight="1" x14ac:dyDescent="0.2">
      <c r="B41" s="51">
        <v>33</v>
      </c>
      <c r="C41" s="104" t="str">
        <f>IFERROR(VLOOKUP($B$4&amp;$H$4&amp;$B41,DATA!$B$39:$AB$55,12,FALSE),"")</f>
        <v/>
      </c>
      <c r="D41" s="421" t="str">
        <f t="shared" si="2"/>
        <v/>
      </c>
      <c r="E41" s="421"/>
      <c r="F41" s="421"/>
      <c r="G41" s="174"/>
      <c r="H41" s="425"/>
      <c r="I41" s="425"/>
      <c r="J41" s="425"/>
      <c r="K41" s="52"/>
      <c r="L41" s="425"/>
      <c r="M41" s="425"/>
      <c r="N41" s="53"/>
    </row>
    <row r="42" spans="2:14" s="4" customFormat="1" ht="18" hidden="1" customHeight="1" x14ac:dyDescent="0.2">
      <c r="B42" s="51">
        <v>34</v>
      </c>
      <c r="C42" s="104" t="str">
        <f>IFERROR(VLOOKUP($B$4&amp;$H$4&amp;$B42,DATA!$B$39:$AB$55,12,FALSE),"")</f>
        <v/>
      </c>
      <c r="D42" s="421" t="str">
        <f t="shared" si="2"/>
        <v/>
      </c>
      <c r="E42" s="421"/>
      <c r="F42" s="421"/>
      <c r="G42" s="174"/>
      <c r="H42" s="425"/>
      <c r="I42" s="425"/>
      <c r="J42" s="425"/>
      <c r="K42" s="52"/>
      <c r="L42" s="425"/>
      <c r="M42" s="425"/>
      <c r="N42" s="53"/>
    </row>
    <row r="43" spans="2:14" s="4" customFormat="1" ht="18" hidden="1" customHeight="1" x14ac:dyDescent="0.2">
      <c r="B43" s="51">
        <v>35</v>
      </c>
      <c r="C43" s="104" t="str">
        <f>IFERROR(VLOOKUP($B$4&amp;$H$4&amp;$B43,DATA!$B$39:$AB$55,12,FALSE),"")</f>
        <v/>
      </c>
      <c r="D43" s="421" t="str">
        <f t="shared" si="2"/>
        <v/>
      </c>
      <c r="E43" s="421"/>
      <c r="F43" s="421"/>
      <c r="G43" s="174"/>
      <c r="H43" s="425"/>
      <c r="I43" s="425"/>
      <c r="J43" s="425"/>
      <c r="K43" s="52"/>
      <c r="L43" s="425"/>
      <c r="M43" s="425"/>
      <c r="N43" s="53"/>
    </row>
    <row r="44" spans="2:14" s="4" customFormat="1" ht="18" hidden="1" customHeight="1" x14ac:dyDescent="0.2">
      <c r="B44" s="51">
        <v>36</v>
      </c>
      <c r="C44" s="104" t="str">
        <f>IFERROR(VLOOKUP($B$4&amp;$H$4&amp;$B44,DATA!$B$39:$AB$55,12,FALSE),"")</f>
        <v/>
      </c>
      <c r="D44" s="421" t="str">
        <f t="shared" si="2"/>
        <v/>
      </c>
      <c r="E44" s="421"/>
      <c r="F44" s="421"/>
      <c r="G44" s="174"/>
      <c r="H44" s="425"/>
      <c r="I44" s="425"/>
      <c r="J44" s="425"/>
      <c r="K44" s="52"/>
      <c r="L44" s="425"/>
      <c r="M44" s="425"/>
      <c r="N44" s="53"/>
    </row>
    <row r="45" spans="2:14" s="4" customFormat="1" ht="18" hidden="1" customHeight="1" x14ac:dyDescent="0.2">
      <c r="B45" s="51">
        <v>37</v>
      </c>
      <c r="C45" s="104" t="str">
        <f>IFERROR(VLOOKUP($B$4&amp;$H$4&amp;$B45,DATA!$B$39:$AB$55,12,FALSE),"")</f>
        <v/>
      </c>
      <c r="D45" s="421" t="str">
        <f t="shared" si="2"/>
        <v/>
      </c>
      <c r="E45" s="421"/>
      <c r="F45" s="421"/>
      <c r="G45" s="174"/>
      <c r="H45" s="425"/>
      <c r="I45" s="425"/>
      <c r="J45" s="425"/>
      <c r="K45" s="52"/>
      <c r="L45" s="425"/>
      <c r="M45" s="425"/>
      <c r="N45" s="53"/>
    </row>
    <row r="46" spans="2:14" s="4" customFormat="1" ht="18" hidden="1" customHeight="1" x14ac:dyDescent="0.2">
      <c r="B46" s="51">
        <v>38</v>
      </c>
      <c r="C46" s="104" t="str">
        <f>IFERROR(VLOOKUP($B$4&amp;$H$4&amp;$B46,DATA!$B$39:$AB$55,12,FALSE),"")</f>
        <v/>
      </c>
      <c r="D46" s="421" t="str">
        <f t="shared" si="2"/>
        <v/>
      </c>
      <c r="E46" s="421"/>
      <c r="F46" s="421"/>
      <c r="G46" s="174"/>
      <c r="H46" s="425"/>
      <c r="I46" s="425"/>
      <c r="J46" s="425"/>
      <c r="K46" s="52"/>
      <c r="L46" s="425"/>
      <c r="M46" s="425"/>
      <c r="N46" s="53"/>
    </row>
    <row r="47" spans="2:14" s="4" customFormat="1" ht="18" hidden="1" customHeight="1" x14ac:dyDescent="0.2">
      <c r="B47" s="51">
        <v>39</v>
      </c>
      <c r="C47" s="104" t="str">
        <f>IFERROR(VLOOKUP($B$4&amp;$H$4&amp;$B47,DATA!$B$39:$AB$55,12,FALSE),"")</f>
        <v/>
      </c>
      <c r="D47" s="421" t="str">
        <f t="shared" si="2"/>
        <v/>
      </c>
      <c r="E47" s="421"/>
      <c r="F47" s="421"/>
      <c r="G47" s="174"/>
      <c r="H47" s="425"/>
      <c r="I47" s="425"/>
      <c r="J47" s="425"/>
      <c r="K47" s="52"/>
      <c r="L47" s="425"/>
      <c r="M47" s="425"/>
      <c r="N47" s="53"/>
    </row>
    <row r="48" spans="2:14" s="4" customFormat="1" ht="18" hidden="1" customHeight="1" x14ac:dyDescent="0.2">
      <c r="B48" s="51">
        <v>40</v>
      </c>
      <c r="C48" s="104" t="str">
        <f>IFERROR(VLOOKUP($B$4&amp;$H$4&amp;$B48,DATA!$B$39:$AB$55,12,FALSE),"")</f>
        <v/>
      </c>
      <c r="D48" s="421" t="str">
        <f t="shared" si="2"/>
        <v/>
      </c>
      <c r="E48" s="421"/>
      <c r="F48" s="421"/>
      <c r="G48" s="174"/>
      <c r="H48" s="425"/>
      <c r="I48" s="425"/>
      <c r="J48" s="425"/>
      <c r="K48" s="52"/>
      <c r="L48" s="425"/>
      <c r="M48" s="425"/>
      <c r="N48" s="53"/>
    </row>
    <row r="49" spans="2:14" s="4" customFormat="1" ht="18" hidden="1" customHeight="1" x14ac:dyDescent="0.2">
      <c r="B49" s="51">
        <v>41</v>
      </c>
      <c r="C49" s="104" t="str">
        <f>IFERROR(VLOOKUP($B$4&amp;$H$4&amp;$B49,DATA!$B$39:$AB$55,12,FALSE),"")</f>
        <v/>
      </c>
      <c r="D49" s="421" t="str">
        <f t="shared" si="2"/>
        <v/>
      </c>
      <c r="E49" s="421"/>
      <c r="F49" s="421"/>
      <c r="G49" s="174"/>
      <c r="H49" s="425"/>
      <c r="I49" s="425"/>
      <c r="J49" s="425"/>
      <c r="K49" s="52"/>
      <c r="L49" s="425"/>
      <c r="M49" s="425"/>
      <c r="N49" s="53"/>
    </row>
    <row r="50" spans="2:14" s="4" customFormat="1" ht="18" hidden="1" customHeight="1" x14ac:dyDescent="0.2">
      <c r="B50" s="51">
        <v>42</v>
      </c>
      <c r="C50" s="104" t="str">
        <f>IFERROR(VLOOKUP($B$4&amp;$H$4&amp;$B50,DATA!$B$39:$AB$55,12,FALSE),"")</f>
        <v/>
      </c>
      <c r="D50" s="421" t="str">
        <f t="shared" si="2"/>
        <v/>
      </c>
      <c r="E50" s="421"/>
      <c r="F50" s="421"/>
      <c r="G50" s="174"/>
      <c r="H50" s="425"/>
      <c r="I50" s="425"/>
      <c r="J50" s="425"/>
      <c r="K50" s="52"/>
      <c r="L50" s="425"/>
      <c r="M50" s="425"/>
      <c r="N50" s="53"/>
    </row>
    <row r="51" spans="2:14" s="4" customFormat="1" ht="18" hidden="1" customHeight="1" x14ac:dyDescent="0.2">
      <c r="B51" s="51">
        <v>43</v>
      </c>
      <c r="C51" s="104" t="str">
        <f>IFERROR(VLOOKUP($B$4&amp;$H$4&amp;$B51,DATA!$B$39:$AB$55,12,FALSE),"")</f>
        <v/>
      </c>
      <c r="D51" s="421" t="str">
        <f t="shared" si="2"/>
        <v/>
      </c>
      <c r="E51" s="421"/>
      <c r="F51" s="421"/>
      <c r="G51" s="174"/>
      <c r="H51" s="425"/>
      <c r="I51" s="425"/>
      <c r="J51" s="425"/>
      <c r="K51" s="52"/>
      <c r="L51" s="425"/>
      <c r="M51" s="425"/>
      <c r="N51" s="53"/>
    </row>
    <row r="52" spans="2:14" s="4" customFormat="1" ht="18" hidden="1" customHeight="1" x14ac:dyDescent="0.2">
      <c r="B52" s="51">
        <v>44</v>
      </c>
      <c r="C52" s="104" t="str">
        <f>IFERROR(VLOOKUP($B$4&amp;$H$4&amp;$B52,DATA!$B$39:$AB$55,12,FALSE),"")</f>
        <v/>
      </c>
      <c r="D52" s="421" t="str">
        <f t="shared" si="2"/>
        <v/>
      </c>
      <c r="E52" s="421"/>
      <c r="F52" s="421"/>
      <c r="G52" s="174"/>
      <c r="H52" s="425"/>
      <c r="I52" s="425"/>
      <c r="J52" s="425"/>
      <c r="K52" s="52"/>
      <c r="L52" s="425"/>
      <c r="M52" s="425"/>
      <c r="N52" s="53"/>
    </row>
    <row r="53" spans="2:14" s="4" customFormat="1" ht="18" hidden="1" customHeight="1" x14ac:dyDescent="0.2">
      <c r="B53" s="51">
        <v>45</v>
      </c>
      <c r="C53" s="104" t="str">
        <f>IFERROR(VLOOKUP($B$4&amp;$H$4&amp;$B53,DATA!$B$39:$AB$55,12,FALSE),"")</f>
        <v/>
      </c>
      <c r="D53" s="421" t="str">
        <f t="shared" si="2"/>
        <v/>
      </c>
      <c r="E53" s="421"/>
      <c r="F53" s="421"/>
      <c r="G53" s="174"/>
      <c r="H53" s="425"/>
      <c r="I53" s="425"/>
      <c r="J53" s="425"/>
      <c r="K53" s="52"/>
      <c r="L53" s="425"/>
      <c r="M53" s="425"/>
      <c r="N53" s="53"/>
    </row>
    <row r="54" spans="2:14" s="4" customFormat="1" ht="18" hidden="1" customHeight="1" x14ac:dyDescent="0.2">
      <c r="B54" s="51">
        <v>46</v>
      </c>
      <c r="C54" s="104" t="str">
        <f>IFERROR(VLOOKUP($B$4&amp;$H$4&amp;$B54,DATA!$B$39:$AB$55,12,FALSE),"")</f>
        <v/>
      </c>
      <c r="D54" s="421" t="str">
        <f t="shared" si="2"/>
        <v/>
      </c>
      <c r="E54" s="421"/>
      <c r="F54" s="421"/>
      <c r="G54" s="174"/>
      <c r="H54" s="425"/>
      <c r="I54" s="425"/>
      <c r="J54" s="425"/>
      <c r="K54" s="52"/>
      <c r="L54" s="425"/>
      <c r="M54" s="425"/>
      <c r="N54" s="53"/>
    </row>
    <row r="55" spans="2:14" s="4" customFormat="1" ht="18" hidden="1" customHeight="1" x14ac:dyDescent="0.2">
      <c r="B55" s="51">
        <v>47</v>
      </c>
      <c r="C55" s="104" t="str">
        <f>IFERROR(VLOOKUP($B$4&amp;$H$4&amp;$B55,DATA!$B$39:$AB$55,12,FALSE),"")</f>
        <v/>
      </c>
      <c r="D55" s="421" t="str">
        <f t="shared" si="2"/>
        <v/>
      </c>
      <c r="E55" s="421"/>
      <c r="F55" s="421"/>
      <c r="G55" s="174"/>
      <c r="H55" s="425"/>
      <c r="I55" s="425"/>
      <c r="J55" s="425"/>
      <c r="K55" s="52"/>
      <c r="L55" s="425"/>
      <c r="M55" s="425"/>
      <c r="N55" s="53"/>
    </row>
    <row r="56" spans="2:14" s="4" customFormat="1" ht="18" hidden="1" customHeight="1" x14ac:dyDescent="0.2">
      <c r="B56" s="51">
        <v>48</v>
      </c>
      <c r="C56" s="104" t="str">
        <f>IFERROR(VLOOKUP($B$4&amp;$H$4&amp;$B56,DATA!$B$39:$AB$55,12,FALSE),"")</f>
        <v/>
      </c>
      <c r="D56" s="421" t="str">
        <f t="shared" si="2"/>
        <v/>
      </c>
      <c r="E56" s="421"/>
      <c r="F56" s="421"/>
      <c r="G56" s="174"/>
      <c r="H56" s="425"/>
      <c r="I56" s="425"/>
      <c r="J56" s="425"/>
      <c r="K56" s="52"/>
      <c r="L56" s="425"/>
      <c r="M56" s="425"/>
      <c r="N56" s="53"/>
    </row>
    <row r="57" spans="2:14" s="4" customFormat="1" ht="18" hidden="1" customHeight="1" x14ac:dyDescent="0.2">
      <c r="B57" s="51">
        <v>49</v>
      </c>
      <c r="C57" s="104" t="str">
        <f>IFERROR(VLOOKUP($B$4&amp;$H$4&amp;$B57,DATA!$B$39:$AB$55,12,FALSE),"")</f>
        <v/>
      </c>
      <c r="D57" s="421" t="str">
        <f t="shared" si="2"/>
        <v/>
      </c>
      <c r="E57" s="421"/>
      <c r="F57" s="421"/>
      <c r="G57" s="174"/>
      <c r="H57" s="425"/>
      <c r="I57" s="425"/>
      <c r="J57" s="425"/>
      <c r="K57" s="52"/>
      <c r="L57" s="425"/>
      <c r="M57" s="425"/>
      <c r="N57" s="53"/>
    </row>
    <row r="58" spans="2:14" s="4" customFormat="1" ht="18" hidden="1" customHeight="1" x14ac:dyDescent="0.2">
      <c r="B58" s="51">
        <v>50</v>
      </c>
      <c r="C58" s="104" t="str">
        <f>IFERROR(VLOOKUP($B$4&amp;$H$4&amp;$B58,DATA!$B$39:$AB$55,12,FALSE),"")</f>
        <v/>
      </c>
      <c r="D58" s="421" t="str">
        <f t="shared" si="2"/>
        <v/>
      </c>
      <c r="E58" s="421"/>
      <c r="F58" s="421"/>
      <c r="G58" s="174"/>
      <c r="H58" s="425"/>
      <c r="I58" s="425"/>
      <c r="J58" s="425"/>
      <c r="K58" s="52"/>
      <c r="L58" s="425"/>
      <c r="M58" s="425"/>
      <c r="N58" s="53"/>
    </row>
    <row r="59" spans="2:14" s="4" customFormat="1" ht="18" hidden="1" customHeight="1" x14ac:dyDescent="0.2">
      <c r="B59" s="51">
        <v>51</v>
      </c>
      <c r="C59" s="104" t="str">
        <f>IFERROR(VLOOKUP($B$4&amp;$H$4&amp;$B59,DATA!$B$39:$AB$55,12,FALSE),"")</f>
        <v/>
      </c>
      <c r="D59" s="421" t="str">
        <f t="shared" si="2"/>
        <v/>
      </c>
      <c r="E59" s="421"/>
      <c r="F59" s="421"/>
      <c r="G59" s="174"/>
      <c r="H59" s="425"/>
      <c r="I59" s="425"/>
      <c r="J59" s="425"/>
      <c r="K59" s="52"/>
      <c r="L59" s="425"/>
      <c r="M59" s="425"/>
      <c r="N59" s="53"/>
    </row>
    <row r="60" spans="2:14" s="4" customFormat="1" ht="18" hidden="1" customHeight="1" x14ac:dyDescent="0.2">
      <c r="B60" s="51">
        <v>52</v>
      </c>
      <c r="C60" s="104" t="str">
        <f>IFERROR(VLOOKUP($B$4&amp;$H$4&amp;$B60,DATA!$B$39:$AB$55,12,FALSE),"")</f>
        <v/>
      </c>
      <c r="D60" s="421" t="str">
        <f t="shared" si="2"/>
        <v/>
      </c>
      <c r="E60" s="421"/>
      <c r="F60" s="421"/>
      <c r="G60" s="174"/>
      <c r="H60" s="425"/>
      <c r="I60" s="425"/>
      <c r="J60" s="425"/>
      <c r="K60" s="52"/>
      <c r="L60" s="425"/>
      <c r="M60" s="425"/>
      <c r="N60" s="53"/>
    </row>
    <row r="61" spans="2:14" s="4" customFormat="1" ht="18" hidden="1" customHeight="1" thickBot="1" x14ac:dyDescent="0.25">
      <c r="B61" s="110">
        <v>53</v>
      </c>
      <c r="C61" s="287" t="str">
        <f>IFERROR(VLOOKUP($B$4&amp;$H$4&amp;$B61,DATA!$B$39:$AB$55,12,FALSE),"")</f>
        <v/>
      </c>
      <c r="D61" s="467" t="str">
        <f t="shared" si="2"/>
        <v/>
      </c>
      <c r="E61" s="467"/>
      <c r="F61" s="467"/>
      <c r="G61" s="293"/>
      <c r="H61" s="457"/>
      <c r="I61" s="457"/>
      <c r="J61" s="457"/>
      <c r="K61" s="54"/>
      <c r="L61" s="457"/>
      <c r="M61" s="457"/>
      <c r="N61" s="55"/>
    </row>
    <row r="62" spans="2:14" s="4" customFormat="1" ht="18" hidden="1" customHeight="1" x14ac:dyDescent="0.2">
      <c r="B62" s="8"/>
      <c r="C62" s="8"/>
      <c r="D62" s="144"/>
      <c r="E62" s="144"/>
      <c r="F62" s="144"/>
      <c r="G62" s="8"/>
      <c r="H62" s="8"/>
      <c r="I62" s="8"/>
      <c r="J62" s="8"/>
      <c r="K62" s="56"/>
      <c r="L62" s="8"/>
      <c r="M62" s="8"/>
      <c r="N62" s="8"/>
    </row>
    <row r="63" spans="2:14" ht="18.75" hidden="1" thickBot="1" x14ac:dyDescent="0.3">
      <c r="B63" s="86" t="str">
        <f>+"CARGOS PRESUPUESTADOS EN LA INSTITUCIÓN EDUCATIVA: "&amp;'Anexo 05'!E5</f>
        <v>CARGOS PRESUPUESTADOS EN LA INSTITUCIÓN EDUCATIVA: ANTONIO RAYMONDI</v>
      </c>
      <c r="C63" s="86"/>
    </row>
    <row r="64" spans="2:14" s="4" customFormat="1" ht="45" hidden="1" customHeight="1" thickBot="1" x14ac:dyDescent="0.25">
      <c r="B64" s="109" t="s">
        <v>25</v>
      </c>
      <c r="C64" s="175"/>
      <c r="D64" s="468" t="s">
        <v>22</v>
      </c>
      <c r="E64" s="469"/>
      <c r="F64" s="470"/>
      <c r="G64" s="47" t="s">
        <v>50</v>
      </c>
      <c r="H64" s="461" t="s">
        <v>21</v>
      </c>
      <c r="I64" s="463"/>
      <c r="J64" s="462"/>
      <c r="K64" s="48" t="s">
        <v>23</v>
      </c>
      <c r="L64" s="461" t="s">
        <v>24</v>
      </c>
      <c r="M64" s="462"/>
      <c r="N64" s="295" t="s">
        <v>107</v>
      </c>
    </row>
    <row r="65" spans="2:14" s="4" customFormat="1" ht="18" hidden="1" customHeight="1" x14ac:dyDescent="0.2">
      <c r="B65" s="243">
        <v>54</v>
      </c>
      <c r="C65" s="174" t="str">
        <f>IFERROR(VLOOKUP($B$4&amp;$H$4&amp;$B65,DATA!$B$39:$AB$55,12,FALSE),"")</f>
        <v/>
      </c>
      <c r="D65" s="422" t="str">
        <f>C65</f>
        <v/>
      </c>
      <c r="E65" s="423"/>
      <c r="F65" s="424"/>
      <c r="G65" s="174"/>
      <c r="H65" s="425"/>
      <c r="I65" s="425"/>
      <c r="J65" s="425"/>
      <c r="K65" s="52"/>
      <c r="L65" s="425"/>
      <c r="M65" s="425"/>
      <c r="N65" s="53"/>
    </row>
    <row r="66" spans="2:14" s="4" customFormat="1" ht="18" hidden="1" customHeight="1" x14ac:dyDescent="0.2">
      <c r="B66" s="51">
        <v>55</v>
      </c>
      <c r="C66" s="174" t="str">
        <f>IFERROR(VLOOKUP($B$4&amp;$H$4&amp;$B66,DATA!$B$39:$AB$55,12,FALSE),"")</f>
        <v/>
      </c>
      <c r="D66" s="422" t="str">
        <f t="shared" ref="D66:D91" si="3">C66</f>
        <v/>
      </c>
      <c r="E66" s="423"/>
      <c r="F66" s="424"/>
      <c r="G66" s="174"/>
      <c r="H66" s="425"/>
      <c r="I66" s="425"/>
      <c r="J66" s="425"/>
      <c r="K66" s="52"/>
      <c r="L66" s="425"/>
      <c r="M66" s="425"/>
      <c r="N66" s="53"/>
    </row>
    <row r="67" spans="2:14" s="4" customFormat="1" ht="18" hidden="1" customHeight="1" x14ac:dyDescent="0.2">
      <c r="B67" s="51">
        <v>56</v>
      </c>
      <c r="C67" s="174" t="str">
        <f>IFERROR(VLOOKUP($B$4&amp;$H$4&amp;$B67,DATA!$B$39:$AB$55,12,FALSE),"")</f>
        <v/>
      </c>
      <c r="D67" s="422" t="str">
        <f t="shared" si="3"/>
        <v/>
      </c>
      <c r="E67" s="423"/>
      <c r="F67" s="424"/>
      <c r="G67" s="174"/>
      <c r="H67" s="425"/>
      <c r="I67" s="425"/>
      <c r="J67" s="425"/>
      <c r="K67" s="52"/>
      <c r="L67" s="425"/>
      <c r="M67" s="425"/>
      <c r="N67" s="53"/>
    </row>
    <row r="68" spans="2:14" s="4" customFormat="1" ht="18" hidden="1" customHeight="1" x14ac:dyDescent="0.2">
      <c r="B68" s="51">
        <v>57</v>
      </c>
      <c r="C68" s="174" t="str">
        <f>IFERROR(VLOOKUP($B$4&amp;$H$4&amp;$B68,DATA!$B$39:$AB$55,12,FALSE),"")</f>
        <v/>
      </c>
      <c r="D68" s="422" t="str">
        <f t="shared" si="3"/>
        <v/>
      </c>
      <c r="E68" s="423"/>
      <c r="F68" s="424"/>
      <c r="G68" s="174"/>
      <c r="H68" s="425"/>
      <c r="I68" s="425"/>
      <c r="J68" s="425"/>
      <c r="K68" s="52"/>
      <c r="L68" s="425"/>
      <c r="M68" s="425"/>
      <c r="N68" s="53"/>
    </row>
    <row r="69" spans="2:14" s="4" customFormat="1" ht="18" hidden="1" customHeight="1" x14ac:dyDescent="0.2">
      <c r="B69" s="51">
        <v>58</v>
      </c>
      <c r="C69" s="174" t="str">
        <f>IFERROR(VLOOKUP($B$4&amp;$H$4&amp;$B69,DATA!$B$39:$AB$55,12,FALSE),"")</f>
        <v/>
      </c>
      <c r="D69" s="422" t="str">
        <f t="shared" si="3"/>
        <v/>
      </c>
      <c r="E69" s="423"/>
      <c r="F69" s="424"/>
      <c r="G69" s="174"/>
      <c r="H69" s="425"/>
      <c r="I69" s="425"/>
      <c r="J69" s="425"/>
      <c r="K69" s="52"/>
      <c r="L69" s="425"/>
      <c r="M69" s="425"/>
      <c r="N69" s="53"/>
    </row>
    <row r="70" spans="2:14" s="4" customFormat="1" ht="18" hidden="1" customHeight="1" x14ac:dyDescent="0.2">
      <c r="B70" s="51">
        <v>59</v>
      </c>
      <c r="C70" s="174" t="str">
        <f>IFERROR(VLOOKUP($B$4&amp;$H$4&amp;$B70,DATA!$B$39:$AB$55,12,FALSE),"")</f>
        <v/>
      </c>
      <c r="D70" s="422" t="str">
        <f t="shared" si="3"/>
        <v/>
      </c>
      <c r="E70" s="423"/>
      <c r="F70" s="424"/>
      <c r="G70" s="174"/>
      <c r="H70" s="425"/>
      <c r="I70" s="425"/>
      <c r="J70" s="425"/>
      <c r="K70" s="52"/>
      <c r="L70" s="425"/>
      <c r="M70" s="425"/>
      <c r="N70" s="53"/>
    </row>
    <row r="71" spans="2:14" s="4" customFormat="1" ht="18" hidden="1" customHeight="1" x14ac:dyDescent="0.2">
      <c r="B71" s="51">
        <v>60</v>
      </c>
      <c r="C71" s="174" t="str">
        <f>IFERROR(VLOOKUP($B$4&amp;$H$4&amp;$B71,DATA!$B$39:$AB$55,12,FALSE),"")</f>
        <v/>
      </c>
      <c r="D71" s="422" t="str">
        <f t="shared" si="3"/>
        <v/>
      </c>
      <c r="E71" s="423"/>
      <c r="F71" s="424"/>
      <c r="G71" s="174"/>
      <c r="H71" s="425"/>
      <c r="I71" s="425"/>
      <c r="J71" s="425"/>
      <c r="K71" s="52"/>
      <c r="L71" s="425"/>
      <c r="M71" s="425"/>
      <c r="N71" s="53"/>
    </row>
    <row r="72" spans="2:14" s="4" customFormat="1" ht="18" hidden="1" customHeight="1" x14ac:dyDescent="0.2">
      <c r="B72" s="51">
        <v>61</v>
      </c>
      <c r="C72" s="174" t="str">
        <f>IFERROR(VLOOKUP($B$4&amp;$H$4&amp;$B72,DATA!$B$39:$AB$55,12,FALSE),"")</f>
        <v/>
      </c>
      <c r="D72" s="422" t="str">
        <f t="shared" si="3"/>
        <v/>
      </c>
      <c r="E72" s="423"/>
      <c r="F72" s="424"/>
      <c r="G72" s="174"/>
      <c r="H72" s="425"/>
      <c r="I72" s="425"/>
      <c r="J72" s="425"/>
      <c r="K72" s="52"/>
      <c r="L72" s="425"/>
      <c r="M72" s="425"/>
      <c r="N72" s="53"/>
    </row>
    <row r="73" spans="2:14" s="4" customFormat="1" ht="18" hidden="1" customHeight="1" x14ac:dyDescent="0.2">
      <c r="B73" s="51">
        <v>62</v>
      </c>
      <c r="C73" s="174" t="str">
        <f>IFERROR(VLOOKUP($B$4&amp;$H$4&amp;$B73,DATA!$B$39:$AB$55,12,FALSE),"")</f>
        <v/>
      </c>
      <c r="D73" s="422" t="str">
        <f t="shared" si="3"/>
        <v/>
      </c>
      <c r="E73" s="423"/>
      <c r="F73" s="424"/>
      <c r="G73" s="174"/>
      <c r="H73" s="425"/>
      <c r="I73" s="425"/>
      <c r="J73" s="425"/>
      <c r="K73" s="52"/>
      <c r="L73" s="425"/>
      <c r="M73" s="425"/>
      <c r="N73" s="53"/>
    </row>
    <row r="74" spans="2:14" s="4" customFormat="1" ht="18" hidden="1" customHeight="1" x14ac:dyDescent="0.2">
      <c r="B74" s="51">
        <v>63</v>
      </c>
      <c r="C74" s="174" t="str">
        <f>IFERROR(VLOOKUP($B$4&amp;$H$4&amp;$B74,DATA!$B$39:$AB$55,12,FALSE),"")</f>
        <v/>
      </c>
      <c r="D74" s="422" t="str">
        <f t="shared" si="3"/>
        <v/>
      </c>
      <c r="E74" s="423"/>
      <c r="F74" s="424"/>
      <c r="G74" s="174"/>
      <c r="H74" s="425"/>
      <c r="I74" s="425"/>
      <c r="J74" s="425"/>
      <c r="K74" s="52"/>
      <c r="L74" s="425"/>
      <c r="M74" s="425"/>
      <c r="N74" s="53"/>
    </row>
    <row r="75" spans="2:14" s="4" customFormat="1" ht="18" hidden="1" customHeight="1" x14ac:dyDescent="0.2">
      <c r="B75" s="51">
        <v>64</v>
      </c>
      <c r="C75" s="174" t="str">
        <f>IFERROR(VLOOKUP($B$4&amp;$H$4&amp;$B75,DATA!$B$39:$AB$55,12,FALSE),"")</f>
        <v/>
      </c>
      <c r="D75" s="422" t="str">
        <f t="shared" si="3"/>
        <v/>
      </c>
      <c r="E75" s="423"/>
      <c r="F75" s="424"/>
      <c r="G75" s="174"/>
      <c r="H75" s="425"/>
      <c r="I75" s="425"/>
      <c r="J75" s="425"/>
      <c r="K75" s="52"/>
      <c r="L75" s="425"/>
      <c r="M75" s="425"/>
      <c r="N75" s="53"/>
    </row>
    <row r="76" spans="2:14" s="4" customFormat="1" ht="18" hidden="1" customHeight="1" x14ac:dyDescent="0.2">
      <c r="B76" s="51">
        <v>65</v>
      </c>
      <c r="C76" s="174" t="str">
        <f>IFERROR(VLOOKUP($B$4&amp;$H$4&amp;$B76,DATA!$B$39:$AB$55,12,FALSE),"")</f>
        <v/>
      </c>
      <c r="D76" s="422" t="str">
        <f t="shared" si="3"/>
        <v/>
      </c>
      <c r="E76" s="423"/>
      <c r="F76" s="424"/>
      <c r="G76" s="174"/>
      <c r="H76" s="425"/>
      <c r="I76" s="425"/>
      <c r="J76" s="425"/>
      <c r="K76" s="52"/>
      <c r="L76" s="425"/>
      <c r="M76" s="425"/>
      <c r="N76" s="53"/>
    </row>
    <row r="77" spans="2:14" s="4" customFormat="1" ht="18" hidden="1" customHeight="1" x14ac:dyDescent="0.2">
      <c r="B77" s="51">
        <v>66</v>
      </c>
      <c r="C77" s="174" t="str">
        <f>IFERROR(VLOOKUP($B$4&amp;$H$4&amp;$B77,DATA!$B$39:$AB$55,12,FALSE),"")</f>
        <v/>
      </c>
      <c r="D77" s="422" t="str">
        <f t="shared" si="3"/>
        <v/>
      </c>
      <c r="E77" s="423"/>
      <c r="F77" s="424"/>
      <c r="G77" s="174"/>
      <c r="H77" s="425"/>
      <c r="I77" s="425"/>
      <c r="J77" s="425"/>
      <c r="K77" s="52"/>
      <c r="L77" s="425"/>
      <c r="M77" s="425"/>
      <c r="N77" s="53"/>
    </row>
    <row r="78" spans="2:14" s="4" customFormat="1" ht="18" hidden="1" customHeight="1" x14ac:dyDescent="0.2">
      <c r="B78" s="51">
        <v>67</v>
      </c>
      <c r="C78" s="174" t="str">
        <f>IFERROR(VLOOKUP($B$4&amp;$H$4&amp;$B78,DATA!$B$39:$AB$55,12,FALSE),"")</f>
        <v/>
      </c>
      <c r="D78" s="422" t="str">
        <f t="shared" si="3"/>
        <v/>
      </c>
      <c r="E78" s="423"/>
      <c r="F78" s="424"/>
      <c r="G78" s="174"/>
      <c r="H78" s="425"/>
      <c r="I78" s="425"/>
      <c r="J78" s="425"/>
      <c r="K78" s="52"/>
      <c r="L78" s="425"/>
      <c r="M78" s="425"/>
      <c r="N78" s="53"/>
    </row>
    <row r="79" spans="2:14" s="4" customFormat="1" ht="18" hidden="1" customHeight="1" x14ac:dyDescent="0.2">
      <c r="B79" s="51">
        <v>68</v>
      </c>
      <c r="C79" s="174" t="str">
        <f>IFERROR(VLOOKUP($B$4&amp;$H$4&amp;$B79,DATA!$B$39:$AB$55,12,FALSE),"")</f>
        <v/>
      </c>
      <c r="D79" s="422" t="str">
        <f t="shared" si="3"/>
        <v/>
      </c>
      <c r="E79" s="423"/>
      <c r="F79" s="424"/>
      <c r="G79" s="174"/>
      <c r="H79" s="425"/>
      <c r="I79" s="425"/>
      <c r="J79" s="425"/>
      <c r="K79" s="52"/>
      <c r="L79" s="425"/>
      <c r="M79" s="425"/>
      <c r="N79" s="53"/>
    </row>
    <row r="80" spans="2:14" s="4" customFormat="1" ht="18" hidden="1" customHeight="1" x14ac:dyDescent="0.2">
      <c r="B80" s="51">
        <v>69</v>
      </c>
      <c r="C80" s="174" t="str">
        <f>IFERROR(VLOOKUP($B$4&amp;$H$4&amp;$B80,DATA!$B$39:$AB$55,12,FALSE),"")</f>
        <v/>
      </c>
      <c r="D80" s="422" t="str">
        <f t="shared" si="3"/>
        <v/>
      </c>
      <c r="E80" s="423"/>
      <c r="F80" s="424"/>
      <c r="G80" s="174"/>
      <c r="H80" s="425"/>
      <c r="I80" s="425"/>
      <c r="J80" s="425"/>
      <c r="K80" s="52"/>
      <c r="L80" s="425"/>
      <c r="M80" s="425"/>
      <c r="N80" s="53"/>
    </row>
    <row r="81" spans="2:14" s="4" customFormat="1" ht="18" hidden="1" customHeight="1" x14ac:dyDescent="0.2">
      <c r="B81" s="51">
        <v>70</v>
      </c>
      <c r="C81" s="174" t="str">
        <f>IFERROR(VLOOKUP($B$4&amp;$H$4&amp;$B81,DATA!$B$39:$AB$55,12,FALSE),"")</f>
        <v/>
      </c>
      <c r="D81" s="422" t="str">
        <f t="shared" si="3"/>
        <v/>
      </c>
      <c r="E81" s="423"/>
      <c r="F81" s="424"/>
      <c r="G81" s="174"/>
      <c r="H81" s="425"/>
      <c r="I81" s="425"/>
      <c r="J81" s="425"/>
      <c r="K81" s="52"/>
      <c r="L81" s="425"/>
      <c r="M81" s="425"/>
      <c r="N81" s="53"/>
    </row>
    <row r="82" spans="2:14" s="4" customFormat="1" ht="18" hidden="1" customHeight="1" x14ac:dyDescent="0.2">
      <c r="B82" s="51">
        <v>71</v>
      </c>
      <c r="C82" s="174" t="str">
        <f>IFERROR(VLOOKUP($B$4&amp;$H$4&amp;$B82,DATA!$B$39:$AB$55,12,FALSE),"")</f>
        <v/>
      </c>
      <c r="D82" s="422" t="str">
        <f t="shared" si="3"/>
        <v/>
      </c>
      <c r="E82" s="423"/>
      <c r="F82" s="424"/>
      <c r="G82" s="174"/>
      <c r="H82" s="425"/>
      <c r="I82" s="425"/>
      <c r="J82" s="425"/>
      <c r="K82" s="52"/>
      <c r="L82" s="425"/>
      <c r="M82" s="425"/>
      <c r="N82" s="53"/>
    </row>
    <row r="83" spans="2:14" s="4" customFormat="1" ht="18" hidden="1" customHeight="1" x14ac:dyDescent="0.2">
      <c r="B83" s="51">
        <v>72</v>
      </c>
      <c r="C83" s="174" t="str">
        <f>IFERROR(VLOOKUP($B$4&amp;$H$4&amp;$B83,DATA!$B$39:$AB$55,12,FALSE),"")</f>
        <v/>
      </c>
      <c r="D83" s="422" t="str">
        <f t="shared" si="3"/>
        <v/>
      </c>
      <c r="E83" s="423"/>
      <c r="F83" s="424"/>
      <c r="G83" s="174"/>
      <c r="H83" s="425"/>
      <c r="I83" s="425"/>
      <c r="J83" s="425"/>
      <c r="K83" s="52"/>
      <c r="L83" s="425"/>
      <c r="M83" s="425"/>
      <c r="N83" s="53"/>
    </row>
    <row r="84" spans="2:14" s="4" customFormat="1" ht="18" hidden="1" customHeight="1" x14ac:dyDescent="0.2">
      <c r="B84" s="51">
        <v>73</v>
      </c>
      <c r="C84" s="174" t="str">
        <f>IFERROR(VLOOKUP($B$4&amp;$H$4&amp;$B84,DATA!$B$39:$AB$55,12,FALSE),"")</f>
        <v/>
      </c>
      <c r="D84" s="422" t="str">
        <f t="shared" si="3"/>
        <v/>
      </c>
      <c r="E84" s="423"/>
      <c r="F84" s="424"/>
      <c r="G84" s="174"/>
      <c r="H84" s="425"/>
      <c r="I84" s="425"/>
      <c r="J84" s="425"/>
      <c r="K84" s="52"/>
      <c r="L84" s="425"/>
      <c r="M84" s="425"/>
      <c r="N84" s="53"/>
    </row>
    <row r="85" spans="2:14" s="4" customFormat="1" ht="18" hidden="1" customHeight="1" x14ac:dyDescent="0.2">
      <c r="B85" s="51">
        <v>74</v>
      </c>
      <c r="C85" s="174" t="str">
        <f>IFERROR(VLOOKUP($B$4&amp;$H$4&amp;$B85,DATA!$B$39:$AB$55,12,FALSE),"")</f>
        <v/>
      </c>
      <c r="D85" s="422" t="str">
        <f t="shared" si="3"/>
        <v/>
      </c>
      <c r="E85" s="423"/>
      <c r="F85" s="424"/>
      <c r="G85" s="174"/>
      <c r="H85" s="425"/>
      <c r="I85" s="425"/>
      <c r="J85" s="425"/>
      <c r="K85" s="52"/>
      <c r="L85" s="425"/>
      <c r="M85" s="425"/>
      <c r="N85" s="53"/>
    </row>
    <row r="86" spans="2:14" s="4" customFormat="1" ht="18" hidden="1" customHeight="1" x14ac:dyDescent="0.2">
      <c r="B86" s="51">
        <v>75</v>
      </c>
      <c r="C86" s="174" t="str">
        <f>IFERROR(VLOOKUP($B$4&amp;$H$4&amp;$B86,DATA!$B$39:$AB$55,12,FALSE),"")</f>
        <v/>
      </c>
      <c r="D86" s="422" t="str">
        <f t="shared" si="3"/>
        <v/>
      </c>
      <c r="E86" s="423"/>
      <c r="F86" s="424"/>
      <c r="G86" s="174"/>
      <c r="H86" s="425"/>
      <c r="I86" s="425"/>
      <c r="J86" s="425"/>
      <c r="K86" s="52"/>
      <c r="L86" s="425"/>
      <c r="M86" s="425"/>
      <c r="N86" s="53"/>
    </row>
    <row r="87" spans="2:14" s="4" customFormat="1" ht="18" hidden="1" customHeight="1" x14ac:dyDescent="0.2">
      <c r="B87" s="51">
        <v>76</v>
      </c>
      <c r="C87" s="174" t="str">
        <f>IFERROR(VLOOKUP($B$4&amp;$H$4&amp;$B87,DATA!$B$39:$AB$55,12,FALSE),"")</f>
        <v/>
      </c>
      <c r="D87" s="422" t="str">
        <f t="shared" si="3"/>
        <v/>
      </c>
      <c r="E87" s="423"/>
      <c r="F87" s="424"/>
      <c r="G87" s="174"/>
      <c r="H87" s="425"/>
      <c r="I87" s="425"/>
      <c r="J87" s="425"/>
      <c r="K87" s="52"/>
      <c r="L87" s="425"/>
      <c r="M87" s="425"/>
      <c r="N87" s="53"/>
    </row>
    <row r="88" spans="2:14" s="4" customFormat="1" ht="18" hidden="1" customHeight="1" x14ac:dyDescent="0.2">
      <c r="B88" s="51">
        <v>77</v>
      </c>
      <c r="C88" s="174" t="str">
        <f>IFERROR(VLOOKUP($B$4&amp;$H$4&amp;$B88,DATA!$B$39:$AB$55,12,FALSE),"")</f>
        <v/>
      </c>
      <c r="D88" s="422" t="str">
        <f t="shared" si="3"/>
        <v/>
      </c>
      <c r="E88" s="423"/>
      <c r="F88" s="424"/>
      <c r="G88" s="174"/>
      <c r="H88" s="425"/>
      <c r="I88" s="425"/>
      <c r="J88" s="425"/>
      <c r="K88" s="52"/>
      <c r="L88" s="425"/>
      <c r="M88" s="425"/>
      <c r="N88" s="53"/>
    </row>
    <row r="89" spans="2:14" s="4" customFormat="1" ht="18" hidden="1" customHeight="1" x14ac:dyDescent="0.2">
      <c r="B89" s="51">
        <v>78</v>
      </c>
      <c r="C89" s="174" t="str">
        <f>IFERROR(VLOOKUP($B$4&amp;$H$4&amp;$B89,DATA!$B$39:$AB$55,12,FALSE),"")</f>
        <v/>
      </c>
      <c r="D89" s="422" t="str">
        <f t="shared" si="3"/>
        <v/>
      </c>
      <c r="E89" s="423"/>
      <c r="F89" s="424"/>
      <c r="G89" s="174"/>
      <c r="H89" s="425"/>
      <c r="I89" s="425"/>
      <c r="J89" s="425"/>
      <c r="K89" s="52"/>
      <c r="L89" s="425"/>
      <c r="M89" s="425"/>
      <c r="N89" s="53"/>
    </row>
    <row r="90" spans="2:14" s="4" customFormat="1" ht="18" hidden="1" customHeight="1" x14ac:dyDescent="0.2">
      <c r="B90" s="51">
        <v>79</v>
      </c>
      <c r="C90" s="174" t="str">
        <f>IFERROR(VLOOKUP($B$4&amp;$H$4&amp;$B90,DATA!$B$39:$AB$55,12,FALSE),"")</f>
        <v/>
      </c>
      <c r="D90" s="422" t="str">
        <f t="shared" si="3"/>
        <v/>
      </c>
      <c r="E90" s="423"/>
      <c r="F90" s="424"/>
      <c r="G90" s="174"/>
      <c r="H90" s="425"/>
      <c r="I90" s="425"/>
      <c r="J90" s="425"/>
      <c r="K90" s="52"/>
      <c r="L90" s="425"/>
      <c r="M90" s="425"/>
      <c r="N90" s="53"/>
    </row>
    <row r="91" spans="2:14" s="4" customFormat="1" ht="18" hidden="1" customHeight="1" x14ac:dyDescent="0.2">
      <c r="B91" s="51">
        <v>80</v>
      </c>
      <c r="C91" s="174" t="str">
        <f>IFERROR(VLOOKUP($B$4&amp;$H$4&amp;$B91,DATA!$B$39:$AB$55,12,FALSE),"")</f>
        <v/>
      </c>
      <c r="D91" s="422" t="str">
        <f t="shared" si="3"/>
        <v/>
      </c>
      <c r="E91" s="423"/>
      <c r="F91" s="424"/>
      <c r="G91" s="174"/>
      <c r="H91" s="425"/>
      <c r="I91" s="425"/>
      <c r="J91" s="425"/>
      <c r="K91" s="52"/>
      <c r="L91" s="425"/>
      <c r="M91" s="425"/>
      <c r="N91" s="53"/>
    </row>
    <row r="92" spans="2:14" s="4" customFormat="1" ht="18" hidden="1" customHeight="1" thickBot="1" x14ac:dyDescent="0.25">
      <c r="B92" s="481" t="s">
        <v>17</v>
      </c>
      <c r="C92" s="482"/>
      <c r="D92" s="483"/>
      <c r="E92" s="483"/>
      <c r="F92" s="483"/>
      <c r="G92" s="483"/>
      <c r="H92" s="483"/>
      <c r="I92" s="483"/>
      <c r="J92" s="484"/>
      <c r="K92" s="57" t="s">
        <v>108</v>
      </c>
      <c r="L92" s="58"/>
      <c r="M92" s="59"/>
      <c r="N92" s="87">
        <f>SUM(N65:N91)</f>
        <v>0</v>
      </c>
    </row>
    <row r="93" spans="2:14" s="4" customFormat="1" ht="21" hidden="1" customHeight="1" x14ac:dyDescent="0.2">
      <c r="B93" s="60"/>
      <c r="C93" s="60"/>
      <c r="D93" s="145"/>
      <c r="E93" s="145"/>
      <c r="F93" s="145"/>
      <c r="G93" s="60"/>
      <c r="H93" s="60"/>
      <c r="I93" s="60"/>
      <c r="J93" s="60"/>
      <c r="K93" s="60"/>
      <c r="L93" s="61"/>
      <c r="N93" s="61"/>
    </row>
    <row r="94" spans="2:14" s="4" customFormat="1" ht="18" customHeight="1" thickBot="1" x14ac:dyDescent="0.3">
      <c r="B94" s="86" t="str">
        <f>+"DISPONIBILIDAD PRESUPUESTAL PARA CONTRATOS EVENTUALES (P/H): "&amp;'Anexo 05'!E5</f>
        <v>DISPONIBILIDAD PRESUPUESTAL PARA CONTRATOS EVENTUALES (P/H): ANTONIO RAYMONDI</v>
      </c>
      <c r="C94" s="86"/>
      <c r="D94" s="146"/>
      <c r="E94" s="146"/>
      <c r="F94" s="146"/>
    </row>
    <row r="95" spans="2:14" s="4" customFormat="1" ht="45" customHeight="1" thickBot="1" x14ac:dyDescent="0.25">
      <c r="B95" s="362" t="s">
        <v>25</v>
      </c>
      <c r="C95" s="363"/>
      <c r="D95" s="487" t="s">
        <v>22</v>
      </c>
      <c r="E95" s="488"/>
      <c r="F95" s="489"/>
      <c r="G95" s="364" t="s">
        <v>27</v>
      </c>
      <c r="H95" s="493" t="s">
        <v>21</v>
      </c>
      <c r="I95" s="494"/>
      <c r="J95" s="495"/>
      <c r="K95" s="365" t="s">
        <v>26</v>
      </c>
      <c r="L95" s="477" t="s">
        <v>24</v>
      </c>
      <c r="M95" s="478"/>
      <c r="N95" s="366" t="s">
        <v>107</v>
      </c>
    </row>
    <row r="96" spans="2:14" s="4" customFormat="1" ht="18.75" customHeight="1" x14ac:dyDescent="0.25">
      <c r="B96" s="243">
        <v>22</v>
      </c>
      <c r="C96" s="360"/>
      <c r="D96" s="490" t="s">
        <v>101</v>
      </c>
      <c r="E96" s="491"/>
      <c r="F96" s="492"/>
      <c r="G96" s="104" t="str">
        <f>"Ley 30328"</f>
        <v>Ley 30328</v>
      </c>
      <c r="H96" s="425" t="s">
        <v>489</v>
      </c>
      <c r="I96" s="425"/>
      <c r="J96" s="425"/>
      <c r="K96" s="361" t="s">
        <v>493</v>
      </c>
      <c r="L96" s="479">
        <v>15</v>
      </c>
      <c r="M96" s="480"/>
      <c r="N96" s="367">
        <v>15</v>
      </c>
    </row>
    <row r="97" spans="2:16" s="4" customFormat="1" ht="18" customHeight="1" x14ac:dyDescent="0.25">
      <c r="B97" s="51">
        <v>23</v>
      </c>
      <c r="C97" s="235"/>
      <c r="D97" s="490" t="s">
        <v>101</v>
      </c>
      <c r="E97" s="491"/>
      <c r="F97" s="492"/>
      <c r="G97" s="104" t="str">
        <f>"Ley 30328"</f>
        <v>Ley 30328</v>
      </c>
      <c r="H97" s="425" t="s">
        <v>489</v>
      </c>
      <c r="I97" s="425"/>
      <c r="J97" s="425"/>
      <c r="K97" s="361" t="s">
        <v>493</v>
      </c>
      <c r="L97" s="479">
        <v>10</v>
      </c>
      <c r="M97" s="480"/>
      <c r="N97" s="367">
        <v>10</v>
      </c>
    </row>
    <row r="98" spans="2:16" s="4" customFormat="1" ht="18" customHeight="1" x14ac:dyDescent="0.2">
      <c r="B98" s="51">
        <v>24</v>
      </c>
      <c r="C98" s="235"/>
      <c r="D98" s="474"/>
      <c r="E98" s="475"/>
      <c r="F98" s="476"/>
      <c r="G98" s="104" t="str">
        <f t="shared" ref="G98:G109" si="4">"Ley 30328"</f>
        <v>Ley 30328</v>
      </c>
      <c r="H98" s="425"/>
      <c r="I98" s="425"/>
      <c r="J98" s="425"/>
      <c r="K98" s="62"/>
      <c r="L98" s="485"/>
      <c r="M98" s="486"/>
      <c r="N98" s="367" t="str">
        <f t="shared" ref="N98:N109" si="5">IF(L98&gt;0,L98,"")</f>
        <v/>
      </c>
    </row>
    <row r="99" spans="2:16" s="4" customFormat="1" ht="18" customHeight="1" x14ac:dyDescent="0.2">
      <c r="B99" s="51">
        <v>25</v>
      </c>
      <c r="C99" s="235"/>
      <c r="D99" s="474"/>
      <c r="E99" s="475"/>
      <c r="F99" s="476"/>
      <c r="G99" s="104" t="str">
        <f t="shared" si="4"/>
        <v>Ley 30328</v>
      </c>
      <c r="H99" s="425"/>
      <c r="I99" s="425"/>
      <c r="J99" s="425"/>
      <c r="K99" s="62"/>
      <c r="L99" s="473"/>
      <c r="M99" s="473"/>
      <c r="N99" s="367" t="str">
        <f t="shared" si="5"/>
        <v/>
      </c>
    </row>
    <row r="100" spans="2:16" s="4" customFormat="1" ht="18" customHeight="1" x14ac:dyDescent="0.2">
      <c r="B100" s="51">
        <v>26</v>
      </c>
      <c r="C100" s="235"/>
      <c r="D100" s="474"/>
      <c r="E100" s="475"/>
      <c r="F100" s="476"/>
      <c r="G100" s="104" t="str">
        <f t="shared" si="4"/>
        <v>Ley 30328</v>
      </c>
      <c r="H100" s="425"/>
      <c r="I100" s="425"/>
      <c r="J100" s="425"/>
      <c r="K100" s="62"/>
      <c r="L100" s="473"/>
      <c r="M100" s="473"/>
      <c r="N100" s="367" t="str">
        <f t="shared" si="5"/>
        <v/>
      </c>
    </row>
    <row r="101" spans="2:16" s="4" customFormat="1" ht="18" customHeight="1" x14ac:dyDescent="0.2">
      <c r="B101" s="51">
        <v>27</v>
      </c>
      <c r="C101" s="235"/>
      <c r="D101" s="474"/>
      <c r="E101" s="475"/>
      <c r="F101" s="476"/>
      <c r="G101" s="104" t="str">
        <f t="shared" si="4"/>
        <v>Ley 30328</v>
      </c>
      <c r="H101" s="425"/>
      <c r="I101" s="425"/>
      <c r="J101" s="425"/>
      <c r="K101" s="62"/>
      <c r="L101" s="473"/>
      <c r="M101" s="473"/>
      <c r="N101" s="367" t="str">
        <f t="shared" si="5"/>
        <v/>
      </c>
    </row>
    <row r="102" spans="2:16" s="4" customFormat="1" ht="18" customHeight="1" x14ac:dyDescent="0.2">
      <c r="B102" s="51">
        <v>28</v>
      </c>
      <c r="C102" s="235"/>
      <c r="D102" s="474"/>
      <c r="E102" s="475"/>
      <c r="F102" s="476"/>
      <c r="G102" s="104" t="str">
        <f t="shared" si="4"/>
        <v>Ley 30328</v>
      </c>
      <c r="H102" s="425"/>
      <c r="I102" s="425"/>
      <c r="J102" s="425"/>
      <c r="K102" s="62"/>
      <c r="L102" s="473"/>
      <c r="M102" s="473"/>
      <c r="N102" s="367" t="str">
        <f t="shared" si="5"/>
        <v/>
      </c>
    </row>
    <row r="103" spans="2:16" s="4" customFormat="1" ht="18" customHeight="1" x14ac:dyDescent="0.2">
      <c r="B103" s="51">
        <v>29</v>
      </c>
      <c r="C103" s="235"/>
      <c r="D103" s="474"/>
      <c r="E103" s="475"/>
      <c r="F103" s="476"/>
      <c r="G103" s="104" t="str">
        <f t="shared" si="4"/>
        <v>Ley 30328</v>
      </c>
      <c r="H103" s="425"/>
      <c r="I103" s="425"/>
      <c r="J103" s="425"/>
      <c r="K103" s="62"/>
      <c r="L103" s="473"/>
      <c r="M103" s="473"/>
      <c r="N103" s="367" t="str">
        <f t="shared" si="5"/>
        <v/>
      </c>
    </row>
    <row r="104" spans="2:16" s="4" customFormat="1" ht="18" customHeight="1" x14ac:dyDescent="0.2">
      <c r="B104" s="51">
        <v>30</v>
      </c>
      <c r="C104" s="235"/>
      <c r="D104" s="474"/>
      <c r="E104" s="475"/>
      <c r="F104" s="476"/>
      <c r="G104" s="104" t="str">
        <f t="shared" si="4"/>
        <v>Ley 30328</v>
      </c>
      <c r="H104" s="425"/>
      <c r="I104" s="425"/>
      <c r="J104" s="425"/>
      <c r="K104" s="62"/>
      <c r="L104" s="473"/>
      <c r="M104" s="473"/>
      <c r="N104" s="367" t="str">
        <f t="shared" si="5"/>
        <v/>
      </c>
    </row>
    <row r="105" spans="2:16" s="4" customFormat="1" ht="18" customHeight="1" x14ac:dyDescent="0.2">
      <c r="B105" s="51">
        <v>31</v>
      </c>
      <c r="C105" s="235"/>
      <c r="D105" s="474"/>
      <c r="E105" s="475"/>
      <c r="F105" s="476"/>
      <c r="G105" s="104" t="str">
        <f t="shared" si="4"/>
        <v>Ley 30328</v>
      </c>
      <c r="H105" s="425"/>
      <c r="I105" s="425"/>
      <c r="J105" s="425"/>
      <c r="K105" s="62"/>
      <c r="L105" s="485"/>
      <c r="M105" s="486"/>
      <c r="N105" s="367" t="str">
        <f t="shared" si="5"/>
        <v/>
      </c>
    </row>
    <row r="106" spans="2:16" s="4" customFormat="1" ht="18" customHeight="1" x14ac:dyDescent="0.2">
      <c r="B106" s="51">
        <v>32</v>
      </c>
      <c r="C106" s="235"/>
      <c r="D106" s="474"/>
      <c r="E106" s="475"/>
      <c r="F106" s="476"/>
      <c r="G106" s="104" t="str">
        <f t="shared" si="4"/>
        <v>Ley 30328</v>
      </c>
      <c r="H106" s="425"/>
      <c r="I106" s="425"/>
      <c r="J106" s="425"/>
      <c r="K106" s="62"/>
      <c r="L106" s="473"/>
      <c r="M106" s="473"/>
      <c r="N106" s="367" t="str">
        <f t="shared" si="5"/>
        <v/>
      </c>
    </row>
    <row r="107" spans="2:16" s="4" customFormat="1" ht="18" customHeight="1" x14ac:dyDescent="0.2">
      <c r="B107" s="51">
        <v>33</v>
      </c>
      <c r="C107" s="235"/>
      <c r="D107" s="474"/>
      <c r="E107" s="475"/>
      <c r="F107" s="476"/>
      <c r="G107" s="104" t="str">
        <f t="shared" si="4"/>
        <v>Ley 30328</v>
      </c>
      <c r="H107" s="425"/>
      <c r="I107" s="425"/>
      <c r="J107" s="425"/>
      <c r="K107" s="62"/>
      <c r="L107" s="473"/>
      <c r="M107" s="473"/>
      <c r="N107" s="367" t="str">
        <f t="shared" si="5"/>
        <v/>
      </c>
    </row>
    <row r="108" spans="2:16" s="4" customFormat="1" ht="18" customHeight="1" x14ac:dyDescent="0.2">
      <c r="B108" s="51">
        <v>34</v>
      </c>
      <c r="C108" s="235"/>
      <c r="D108" s="474"/>
      <c r="E108" s="475"/>
      <c r="F108" s="476"/>
      <c r="G108" s="104" t="str">
        <f t="shared" si="4"/>
        <v>Ley 30328</v>
      </c>
      <c r="H108" s="425"/>
      <c r="I108" s="425"/>
      <c r="J108" s="425"/>
      <c r="K108" s="62"/>
      <c r="L108" s="473"/>
      <c r="M108" s="473"/>
      <c r="N108" s="367" t="str">
        <f t="shared" si="5"/>
        <v/>
      </c>
    </row>
    <row r="109" spans="2:16" s="4" customFormat="1" ht="18" customHeight="1" thickBot="1" x14ac:dyDescent="0.25">
      <c r="B109" s="51">
        <v>35</v>
      </c>
      <c r="C109" s="235"/>
      <c r="D109" s="474"/>
      <c r="E109" s="475"/>
      <c r="F109" s="476"/>
      <c r="G109" s="104" t="str">
        <f t="shared" si="4"/>
        <v>Ley 30328</v>
      </c>
      <c r="H109" s="425"/>
      <c r="I109" s="425"/>
      <c r="J109" s="425"/>
      <c r="K109" s="62"/>
      <c r="L109" s="473"/>
      <c r="M109" s="473"/>
      <c r="N109" s="367" t="str">
        <f t="shared" si="5"/>
        <v/>
      </c>
    </row>
    <row r="110" spans="2:16" s="4" customFormat="1" ht="18" customHeight="1" thickBot="1" x14ac:dyDescent="0.25">
      <c r="B110" s="496" t="s">
        <v>17</v>
      </c>
      <c r="C110" s="497"/>
      <c r="D110" s="497"/>
      <c r="E110" s="497"/>
      <c r="F110" s="497"/>
      <c r="G110" s="497"/>
      <c r="H110" s="497"/>
      <c r="I110" s="497"/>
      <c r="J110" s="497"/>
      <c r="K110" s="498"/>
      <c r="L110" s="63"/>
      <c r="M110" s="64"/>
      <c r="N110" s="88">
        <f>SUM(N96:N109)</f>
        <v>25</v>
      </c>
    </row>
    <row r="111" spans="2:16" s="4" customFormat="1" ht="18" customHeight="1" x14ac:dyDescent="0.2">
      <c r="B111" s="36"/>
      <c r="C111" s="36"/>
      <c r="D111" s="146"/>
      <c r="E111" s="146"/>
      <c r="F111" s="146"/>
      <c r="N111" s="147"/>
      <c r="O111" s="456" t="s">
        <v>34</v>
      </c>
      <c r="P111" s="456"/>
    </row>
    <row r="112" spans="2:16" s="4" customFormat="1" ht="18" customHeight="1" x14ac:dyDescent="0.2">
      <c r="D112" s="146"/>
      <c r="E112" s="146"/>
      <c r="F112" s="146"/>
    </row>
    <row r="113" spans="4:6" s="4" customFormat="1" ht="18" customHeight="1" x14ac:dyDescent="0.2">
      <c r="D113" s="146"/>
      <c r="E113" s="146"/>
      <c r="F113" s="146"/>
    </row>
    <row r="114" spans="4:6" x14ac:dyDescent="0.25">
      <c r="E114" s="146"/>
    </row>
  </sheetData>
  <sheetProtection password="C280" sheet="1" objects="1" scenarios="1"/>
  <mergeCells count="284">
    <mergeCell ref="D109:F109"/>
    <mergeCell ref="B110:K110"/>
    <mergeCell ref="D77:F77"/>
    <mergeCell ref="D87:F87"/>
    <mergeCell ref="D89:F89"/>
    <mergeCell ref="D91:F91"/>
    <mergeCell ref="L88:M88"/>
    <mergeCell ref="L78:M78"/>
    <mergeCell ref="L80:M80"/>
    <mergeCell ref="L87:M87"/>
    <mergeCell ref="L83:M83"/>
    <mergeCell ref="L82:M82"/>
    <mergeCell ref="D81:F81"/>
    <mergeCell ref="D85:F85"/>
    <mergeCell ref="D84:F84"/>
    <mergeCell ref="H84:J84"/>
    <mergeCell ref="D82:F82"/>
    <mergeCell ref="H82:J82"/>
    <mergeCell ref="H85:J85"/>
    <mergeCell ref="H83:J83"/>
    <mergeCell ref="H86:J86"/>
    <mergeCell ref="H97:J97"/>
    <mergeCell ref="D105:F105"/>
    <mergeCell ref="H98:J98"/>
    <mergeCell ref="D71:F71"/>
    <mergeCell ref="D73:F73"/>
    <mergeCell ref="L69:M69"/>
    <mergeCell ref="H95:J95"/>
    <mergeCell ref="H91:J91"/>
    <mergeCell ref="L73:M73"/>
    <mergeCell ref="D75:F75"/>
    <mergeCell ref="H75:J75"/>
    <mergeCell ref="D78:F78"/>
    <mergeCell ref="H77:J77"/>
    <mergeCell ref="L75:M75"/>
    <mergeCell ref="L79:M79"/>
    <mergeCell ref="L77:M77"/>
    <mergeCell ref="L81:M81"/>
    <mergeCell ref="L89:M89"/>
    <mergeCell ref="L85:M85"/>
    <mergeCell ref="L84:M84"/>
    <mergeCell ref="D86:F86"/>
    <mergeCell ref="D95:F95"/>
    <mergeCell ref="H79:J79"/>
    <mergeCell ref="D102:F102"/>
    <mergeCell ref="H102:J102"/>
    <mergeCell ref="D98:F98"/>
    <mergeCell ref="D96:F96"/>
    <mergeCell ref="H101:J101"/>
    <mergeCell ref="D97:F97"/>
    <mergeCell ref="D74:F74"/>
    <mergeCell ref="H74:J74"/>
    <mergeCell ref="D83:F83"/>
    <mergeCell ref="H80:J80"/>
    <mergeCell ref="L106:M106"/>
    <mergeCell ref="L98:M98"/>
    <mergeCell ref="L99:M99"/>
    <mergeCell ref="L105:M105"/>
    <mergeCell ref="H81:J81"/>
    <mergeCell ref="H87:J87"/>
    <mergeCell ref="H103:J103"/>
    <mergeCell ref="L102:M102"/>
    <mergeCell ref="H106:J106"/>
    <mergeCell ref="L96:M96"/>
    <mergeCell ref="H90:J90"/>
    <mergeCell ref="H109:J109"/>
    <mergeCell ref="L109:M109"/>
    <mergeCell ref="L103:M103"/>
    <mergeCell ref="H105:J105"/>
    <mergeCell ref="D99:F99"/>
    <mergeCell ref="L86:M86"/>
    <mergeCell ref="D106:F106"/>
    <mergeCell ref="D107:F107"/>
    <mergeCell ref="H107:J107"/>
    <mergeCell ref="H100:J100"/>
    <mergeCell ref="L100:M100"/>
    <mergeCell ref="L95:M95"/>
    <mergeCell ref="L97:M97"/>
    <mergeCell ref="H96:J96"/>
    <mergeCell ref="H99:J99"/>
    <mergeCell ref="D103:F103"/>
    <mergeCell ref="D108:F108"/>
    <mergeCell ref="H108:J108"/>
    <mergeCell ref="L107:M107"/>
    <mergeCell ref="L108:M108"/>
    <mergeCell ref="H88:J88"/>
    <mergeCell ref="H89:J89"/>
    <mergeCell ref="B92:J92"/>
    <mergeCell ref="L90:M90"/>
    <mergeCell ref="H104:J104"/>
    <mergeCell ref="L104:M104"/>
    <mergeCell ref="L101:M101"/>
    <mergeCell ref="L91:M91"/>
    <mergeCell ref="H78:J78"/>
    <mergeCell ref="D79:F79"/>
    <mergeCell ref="D80:F80"/>
    <mergeCell ref="H59:J59"/>
    <mergeCell ref="H57:J57"/>
    <mergeCell ref="L60:M60"/>
    <mergeCell ref="L57:M57"/>
    <mergeCell ref="L65:M65"/>
    <mergeCell ref="H58:J58"/>
    <mergeCell ref="H66:J66"/>
    <mergeCell ref="H65:J65"/>
    <mergeCell ref="D76:F76"/>
    <mergeCell ref="D72:F72"/>
    <mergeCell ref="H72:J72"/>
    <mergeCell ref="H76:J76"/>
    <mergeCell ref="D104:F104"/>
    <mergeCell ref="D100:F100"/>
    <mergeCell ref="D101:F101"/>
    <mergeCell ref="D90:F90"/>
    <mergeCell ref="D88:F88"/>
    <mergeCell ref="D21:F21"/>
    <mergeCell ref="D22:F22"/>
    <mergeCell ref="D23:F23"/>
    <mergeCell ref="D34:F34"/>
    <mergeCell ref="D41:F41"/>
    <mergeCell ref="H24:J24"/>
    <mergeCell ref="D25:F25"/>
    <mergeCell ref="H32:J32"/>
    <mergeCell ref="H30:J30"/>
    <mergeCell ref="D36:F36"/>
    <mergeCell ref="H36:J36"/>
    <mergeCell ref="D33:F33"/>
    <mergeCell ref="D35:F35"/>
    <mergeCell ref="D24:F24"/>
    <mergeCell ref="D32:F32"/>
    <mergeCell ref="D30:F30"/>
    <mergeCell ref="D26:F26"/>
    <mergeCell ref="H31:J31"/>
    <mergeCell ref="H35:J35"/>
    <mergeCell ref="H41:J41"/>
    <mergeCell ref="H29:J29"/>
    <mergeCell ref="D29:F29"/>
    <mergeCell ref="D37:F37"/>
    <mergeCell ref="D42:F42"/>
    <mergeCell ref="D39:F39"/>
    <mergeCell ref="H34:J34"/>
    <mergeCell ref="D31:F31"/>
    <mergeCell ref="D59:F59"/>
    <mergeCell ref="D58:F58"/>
    <mergeCell ref="D61:F61"/>
    <mergeCell ref="D40:F40"/>
    <mergeCell ref="D43:F43"/>
    <mergeCell ref="D38:F38"/>
    <mergeCell ref="D48:F48"/>
    <mergeCell ref="D46:F46"/>
    <mergeCell ref="H60:J60"/>
    <mergeCell ref="H49:J49"/>
    <mergeCell ref="H47:J47"/>
    <mergeCell ref="H45:J45"/>
    <mergeCell ref="D51:F51"/>
    <mergeCell ref="D47:F47"/>
    <mergeCell ref="D50:F50"/>
    <mergeCell ref="D54:F54"/>
    <mergeCell ref="H54:J54"/>
    <mergeCell ref="H55:J55"/>
    <mergeCell ref="H37:J37"/>
    <mergeCell ref="L34:M34"/>
    <mergeCell ref="L41:M41"/>
    <mergeCell ref="L43:M43"/>
    <mergeCell ref="L47:M47"/>
    <mergeCell ref="L46:M46"/>
    <mergeCell ref="H61:J61"/>
    <mergeCell ref="H64:J64"/>
    <mergeCell ref="D44:F44"/>
    <mergeCell ref="D49:F49"/>
    <mergeCell ref="D45:F45"/>
    <mergeCell ref="D64:F64"/>
    <mergeCell ref="L56:M56"/>
    <mergeCell ref="L50:M50"/>
    <mergeCell ref="L54:M54"/>
    <mergeCell ref="L55:M55"/>
    <mergeCell ref="H56:J56"/>
    <mergeCell ref="H46:J46"/>
    <mergeCell ref="H73:J73"/>
    <mergeCell ref="L64:M64"/>
    <mergeCell ref="L74:M74"/>
    <mergeCell ref="H51:J51"/>
    <mergeCell ref="H39:J39"/>
    <mergeCell ref="H48:J48"/>
    <mergeCell ref="H50:J50"/>
    <mergeCell ref="H44:J44"/>
    <mergeCell ref="L42:M42"/>
    <mergeCell ref="H40:J40"/>
    <mergeCell ref="H71:J71"/>
    <mergeCell ref="L29:M29"/>
    <mergeCell ref="L30:M30"/>
    <mergeCell ref="H23:J23"/>
    <mergeCell ref="H21:J21"/>
    <mergeCell ref="H22:J22"/>
    <mergeCell ref="H18:J18"/>
    <mergeCell ref="H33:J33"/>
    <mergeCell ref="H25:J25"/>
    <mergeCell ref="H43:J43"/>
    <mergeCell ref="H42:J42"/>
    <mergeCell ref="H38:J38"/>
    <mergeCell ref="L19:M19"/>
    <mergeCell ref="L21:M21"/>
    <mergeCell ref="L22:M22"/>
    <mergeCell ref="L26:M26"/>
    <mergeCell ref="L23:M23"/>
    <mergeCell ref="H19:J19"/>
    <mergeCell ref="H20:J20"/>
    <mergeCell ref="H26:J26"/>
    <mergeCell ref="L24:M24"/>
    <mergeCell ref="L25:M25"/>
    <mergeCell ref="L32:M32"/>
    <mergeCell ref="L36:M36"/>
    <mergeCell ref="L35:M35"/>
    <mergeCell ref="O111:P111"/>
    <mergeCell ref="L38:M38"/>
    <mergeCell ref="L33:M33"/>
    <mergeCell ref="L39:M39"/>
    <mergeCell ref="L31:M31"/>
    <mergeCell ref="L59:M59"/>
    <mergeCell ref="L51:M51"/>
    <mergeCell ref="L48:M48"/>
    <mergeCell ref="L44:M44"/>
    <mergeCell ref="L58:M58"/>
    <mergeCell ref="L61:M61"/>
    <mergeCell ref="L37:M37"/>
    <mergeCell ref="L40:M40"/>
    <mergeCell ref="L53:M53"/>
    <mergeCell ref="L52:M52"/>
    <mergeCell ref="L49:M49"/>
    <mergeCell ref="L72:M72"/>
    <mergeCell ref="L71:M71"/>
    <mergeCell ref="L70:M70"/>
    <mergeCell ref="L67:M67"/>
    <mergeCell ref="L76:M76"/>
    <mergeCell ref="L45:M45"/>
    <mergeCell ref="L68:M68"/>
    <mergeCell ref="L66:M66"/>
    <mergeCell ref="D17:F17"/>
    <mergeCell ref="D20:F20"/>
    <mergeCell ref="L20:M20"/>
    <mergeCell ref="H17:J17"/>
    <mergeCell ref="L17:M17"/>
    <mergeCell ref="L18:M18"/>
    <mergeCell ref="D14:F14"/>
    <mergeCell ref="L13:M13"/>
    <mergeCell ref="H16:J16"/>
    <mergeCell ref="H13:J13"/>
    <mergeCell ref="L14:M14"/>
    <mergeCell ref="H14:J14"/>
    <mergeCell ref="D18:F18"/>
    <mergeCell ref="D19:F19"/>
    <mergeCell ref="B2:N2"/>
    <mergeCell ref="B7:D7"/>
    <mergeCell ref="D13:F13"/>
    <mergeCell ref="E5:E6"/>
    <mergeCell ref="F5:F6"/>
    <mergeCell ref="G5:G6"/>
    <mergeCell ref="L15:M15"/>
    <mergeCell ref="L16:M16"/>
    <mergeCell ref="H15:J15"/>
    <mergeCell ref="L6:L8"/>
    <mergeCell ref="B5:D6"/>
    <mergeCell ref="D15:F15"/>
    <mergeCell ref="D16:F16"/>
    <mergeCell ref="B8:D8"/>
    <mergeCell ref="J5:J6"/>
    <mergeCell ref="H5:H6"/>
    <mergeCell ref="I5:I6"/>
    <mergeCell ref="D57:F57"/>
    <mergeCell ref="D66:F66"/>
    <mergeCell ref="D52:F52"/>
    <mergeCell ref="D60:F60"/>
    <mergeCell ref="D55:F55"/>
    <mergeCell ref="D53:F53"/>
    <mergeCell ref="D56:F56"/>
    <mergeCell ref="H68:J68"/>
    <mergeCell ref="H70:J70"/>
    <mergeCell ref="H67:J67"/>
    <mergeCell ref="H69:J69"/>
    <mergeCell ref="H53:J53"/>
    <mergeCell ref="H52:J52"/>
    <mergeCell ref="D67:F67"/>
    <mergeCell ref="D65:F65"/>
    <mergeCell ref="D68:F68"/>
    <mergeCell ref="D69:F69"/>
    <mergeCell ref="D70:F70"/>
  </mergeCells>
  <phoneticPr fontId="0" type="noConversion"/>
  <conditionalFormatting sqref="G30:G62 G27">
    <cfRule type="cellIs" dxfId="114" priority="23" operator="equal">
      <formula>0</formula>
    </cfRule>
  </conditionalFormatting>
  <conditionalFormatting sqref="G14">
    <cfRule type="cellIs" dxfId="113" priority="21" operator="equal">
      <formula>0</formula>
    </cfRule>
  </conditionalFormatting>
  <conditionalFormatting sqref="G65:G71 G77:G79 G84:G91">
    <cfRule type="cellIs" dxfId="112" priority="12" operator="equal">
      <formula>0</formula>
    </cfRule>
  </conditionalFormatting>
  <conditionalFormatting sqref="D27:F27 D30:F62">
    <cfRule type="containsErrors" dxfId="111" priority="19">
      <formula>ISERROR(D27)</formula>
    </cfRule>
  </conditionalFormatting>
  <conditionalFormatting sqref="D65:F91">
    <cfRule type="containsErrors" dxfId="110" priority="11">
      <formula>ISERROR(D65)</formula>
    </cfRule>
  </conditionalFormatting>
  <conditionalFormatting sqref="G72:G76">
    <cfRule type="cellIs" dxfId="109" priority="10" operator="equal">
      <formula>0</formula>
    </cfRule>
  </conditionalFormatting>
  <conditionalFormatting sqref="G80:G83">
    <cfRule type="cellIs" dxfId="108" priority="8" operator="equal">
      <formula>0</formula>
    </cfRule>
  </conditionalFormatting>
  <conditionalFormatting sqref="E9:J9">
    <cfRule type="cellIs" dxfId="107" priority="6" operator="equal">
      <formula>0</formula>
    </cfRule>
  </conditionalFormatting>
  <conditionalFormatting sqref="J7:J8">
    <cfRule type="cellIs" dxfId="106" priority="5" operator="equal">
      <formula>0</formula>
    </cfRule>
  </conditionalFormatting>
  <conditionalFormatting sqref="G15:G26">
    <cfRule type="cellIs" dxfId="105" priority="4" operator="equal">
      <formula>0</formula>
    </cfRule>
  </conditionalFormatting>
  <conditionalFormatting sqref="G96">
    <cfRule type="cellIs" dxfId="104" priority="3" operator="equal">
      <formula>0</formula>
    </cfRule>
  </conditionalFormatting>
  <conditionalFormatting sqref="G98:G109">
    <cfRule type="cellIs" dxfId="103" priority="2" operator="equal">
      <formula>0</formula>
    </cfRule>
  </conditionalFormatting>
  <conditionalFormatting sqref="G97">
    <cfRule type="cellIs" dxfId="102" priority="1" operator="equal">
      <formula>0</formula>
    </cfRule>
  </conditionalFormatting>
  <dataValidations count="4">
    <dataValidation type="list" allowBlank="1" showInputMessage="1" showErrorMessage="1" sqref="M7" xr:uid="{F19B666D-9D6D-4C8E-91D4-5188D9DD6E8C}">
      <formula1>"45,35"</formula1>
    </dataValidation>
    <dataValidation type="list" allowBlank="1" showInputMessage="1" showErrorMessage="1" sqref="H30:J62 H96:J109 H65:J91 H14:J27" xr:uid="{A125A4FF-7F59-4844-8593-147B1DA828CF}">
      <formula1>"Área de Gestión Institucional,Área de Gestión Pedagógica"</formula1>
    </dataValidation>
    <dataValidation type="list" allowBlank="1" showInputMessage="1" showErrorMessage="1" sqref="L30:M62 L65:M91 L27:M27" xr:uid="{DE78D436-FD5A-445E-B510-D51D58CD2CE1}">
      <formula1>"40 Horas Cronológicas,24 Horas Pedagógicas"</formula1>
    </dataValidation>
    <dataValidation type="list" allowBlank="1" showInputMessage="1" showErrorMessage="1" sqref="L14:M26" xr:uid="{76B02E1A-786F-41F5-8AFD-6D26BAE7CAC0}">
      <formula1>"40 Horas Cronológicas,32 Horas Pedagógicas,30 Horas Pedagógicas"</formula1>
    </dataValidation>
  </dataValidations>
  <printOptions horizontalCentered="1"/>
  <pageMargins left="0.62992125984251968" right="0.59055118110236227" top="0.47244094488188981" bottom="0.31496062992125984" header="0" footer="0.62992125984251968"/>
  <pageSetup paperSize="9" scale="83" fitToHeight="0" orientation="landscape" r:id="rId1"/>
  <headerFooter alignWithMargins="0"/>
  <rowBreaks count="1" manualBreakCount="1">
    <brk id="93" max="16383" man="1"/>
  </rowBreaks>
  <ignoredErrors>
    <ignoredError sqref="G96 G14:G26 D14:F14 K14 D24:F26 N98:N109 G98:G109 K24:K26" unlocked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2F8D2-ED81-4EAF-A7C0-B83FC5E171CA}">
  <sheetPr codeName="Hoja2">
    <tabColor rgb="FF92D050"/>
    <pageSetUpPr fitToPage="1"/>
  </sheetPr>
  <dimension ref="A1:T25"/>
  <sheetViews>
    <sheetView topLeftCell="B2" zoomScale="80" zoomScaleNormal="80" zoomScaleSheetLayoutView="90" workbookViewId="0">
      <selection activeCell="B7" sqref="B7"/>
    </sheetView>
  </sheetViews>
  <sheetFormatPr baseColWidth="10" defaultColWidth="11.42578125" defaultRowHeight="12.75" x14ac:dyDescent="0.2"/>
  <cols>
    <col min="1" max="1" width="3.7109375" style="5" hidden="1" customWidth="1"/>
    <col min="2" max="2" width="49.5703125" style="5" bestFit="1" customWidth="1"/>
    <col min="3" max="3" width="5.85546875" style="5" customWidth="1"/>
    <col min="4" max="4" width="11.42578125" style="5" customWidth="1"/>
    <col min="5" max="6" width="5.85546875" style="5" customWidth="1"/>
    <col min="7" max="7" width="11.42578125" style="5" customWidth="1"/>
    <col min="8" max="8" width="6.28515625" style="5" customWidth="1"/>
    <col min="9" max="9" width="5.85546875" style="5" customWidth="1"/>
    <col min="10" max="10" width="12.140625" style="5" customWidth="1"/>
    <col min="11" max="11" width="6.5703125" style="5" customWidth="1"/>
    <col min="12" max="12" width="6.140625" style="5" customWidth="1"/>
    <col min="13" max="13" width="13.28515625" style="5" customWidth="1"/>
    <col min="14" max="14" width="6.7109375" style="5" customWidth="1"/>
    <col min="15" max="15" width="6" style="5" customWidth="1"/>
    <col min="16" max="16" width="12.7109375" style="5" customWidth="1"/>
    <col min="17" max="17" width="6.7109375" style="5" customWidth="1"/>
    <col min="18" max="18" width="6.5703125" style="5" customWidth="1"/>
    <col min="19" max="19" width="9.42578125" style="5" customWidth="1"/>
    <col min="20" max="20" width="7.85546875" style="5" customWidth="1"/>
    <col min="21" max="16384" width="11.42578125" style="5"/>
  </cols>
  <sheetData>
    <row r="1" spans="1:20" ht="15.75" x14ac:dyDescent="0.25">
      <c r="S1" s="4"/>
      <c r="T1" s="31" t="s">
        <v>71</v>
      </c>
    </row>
    <row r="2" spans="1:20" s="4" customFormat="1" ht="31.5" customHeight="1" x14ac:dyDescent="0.25">
      <c r="B2" s="426" t="s">
        <v>70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</row>
    <row r="4" spans="1:20" ht="26.25" customHeight="1" thickBot="1" x14ac:dyDescent="0.25">
      <c r="B4" s="296" t="str">
        <f>+'Anexo 05'!E5</f>
        <v>ANTONIO RAYMONDI</v>
      </c>
      <c r="C4" s="297"/>
      <c r="D4" s="298"/>
      <c r="E4" s="298"/>
      <c r="F4" s="297"/>
      <c r="G4" s="297" t="str">
        <f>INICIO!Z8</f>
        <v>JER-EIB</v>
      </c>
      <c r="H4" s="25"/>
      <c r="I4" s="32"/>
      <c r="J4" s="32"/>
      <c r="K4" s="32"/>
      <c r="L4" s="32"/>
      <c r="M4" s="32"/>
      <c r="N4" s="32"/>
      <c r="O4" s="32"/>
      <c r="P4" s="32"/>
      <c r="T4" s="33"/>
    </row>
    <row r="5" spans="1:20" s="34" customFormat="1" ht="26.25" customHeight="1" x14ac:dyDescent="0.2">
      <c r="B5" s="499" t="s">
        <v>20</v>
      </c>
      <c r="C5" s="501" t="s">
        <v>0</v>
      </c>
      <c r="D5" s="502"/>
      <c r="E5" s="503"/>
      <c r="F5" s="501" t="s">
        <v>1</v>
      </c>
      <c r="G5" s="502"/>
      <c r="H5" s="503"/>
      <c r="I5" s="501" t="s">
        <v>2</v>
      </c>
      <c r="J5" s="502"/>
      <c r="K5" s="503"/>
      <c r="L5" s="501" t="s">
        <v>3</v>
      </c>
      <c r="M5" s="502"/>
      <c r="N5" s="503"/>
      <c r="O5" s="501" t="s">
        <v>4</v>
      </c>
      <c r="P5" s="502"/>
      <c r="Q5" s="503"/>
      <c r="R5" s="501" t="s">
        <v>9</v>
      </c>
      <c r="S5" s="502"/>
      <c r="T5" s="503"/>
    </row>
    <row r="6" spans="1:20" s="34" customFormat="1" ht="30" customHeight="1" thickBot="1" x14ac:dyDescent="0.25">
      <c r="B6" s="500"/>
      <c r="C6" s="122" t="s">
        <v>6</v>
      </c>
      <c r="D6" s="123" t="s">
        <v>7</v>
      </c>
      <c r="E6" s="124" t="s">
        <v>8</v>
      </c>
      <c r="F6" s="122" t="s">
        <v>6</v>
      </c>
      <c r="G6" s="123" t="s">
        <v>7</v>
      </c>
      <c r="H6" s="124" t="s">
        <v>19</v>
      </c>
      <c r="I6" s="122" t="s">
        <v>6</v>
      </c>
      <c r="J6" s="123" t="s">
        <v>7</v>
      </c>
      <c r="K6" s="124" t="s">
        <v>8</v>
      </c>
      <c r="L6" s="122" t="s">
        <v>6</v>
      </c>
      <c r="M6" s="123" t="s">
        <v>45</v>
      </c>
      <c r="N6" s="124" t="s">
        <v>8</v>
      </c>
      <c r="O6" s="122" t="s">
        <v>6</v>
      </c>
      <c r="P6" s="123" t="s">
        <v>7</v>
      </c>
      <c r="Q6" s="124" t="s">
        <v>8</v>
      </c>
      <c r="R6" s="125" t="s">
        <v>6</v>
      </c>
      <c r="S6" s="126" t="s">
        <v>7</v>
      </c>
      <c r="T6" s="127" t="s">
        <v>8</v>
      </c>
    </row>
    <row r="7" spans="1:20" s="34" customFormat="1" ht="25.5" customHeight="1" x14ac:dyDescent="0.2">
      <c r="A7" s="34">
        <v>1</v>
      </c>
      <c r="B7" s="379" t="str">
        <f>IFERROR(VLOOKUP($B$4&amp;$G$4&amp;$A7,Hoja3!A2:E104,5,FALSE),"")</f>
        <v>MATEMATICA</v>
      </c>
      <c r="C7" s="9">
        <v>4</v>
      </c>
      <c r="D7" s="511">
        <f>+'Anexo 01'!E8</f>
        <v>1</v>
      </c>
      <c r="E7" s="101">
        <f>+C7*$D$7</f>
        <v>4</v>
      </c>
      <c r="F7" s="9">
        <v>4</v>
      </c>
      <c r="G7" s="514">
        <f>+'Anexo 01'!F8</f>
        <v>1</v>
      </c>
      <c r="H7" s="113">
        <f>+F7*$G$7</f>
        <v>4</v>
      </c>
      <c r="I7" s="9">
        <v>4</v>
      </c>
      <c r="J7" s="514">
        <f>+'Anexo 01'!G8</f>
        <v>1</v>
      </c>
      <c r="K7" s="113">
        <f>+I7*$J$7</f>
        <v>4</v>
      </c>
      <c r="L7" s="9">
        <v>4</v>
      </c>
      <c r="M7" s="517">
        <f>+'Anexo 01'!H8</f>
        <v>1</v>
      </c>
      <c r="N7" s="113">
        <f>+L7*$M$7</f>
        <v>4</v>
      </c>
      <c r="O7" s="9">
        <v>4</v>
      </c>
      <c r="P7" s="511">
        <f>+'Anexo 01'!I8</f>
        <v>1</v>
      </c>
      <c r="Q7" s="113">
        <f>+O7*$P$7</f>
        <v>4</v>
      </c>
      <c r="R7" s="116">
        <f>+E7+H7+K7+N7+Q7</f>
        <v>20</v>
      </c>
      <c r="S7" s="514">
        <f>+D7+G7+J7+M7+P7</f>
        <v>5</v>
      </c>
      <c r="T7" s="117">
        <f>+E7+H7+K7+N7+Q7</f>
        <v>20</v>
      </c>
    </row>
    <row r="8" spans="1:20" s="34" customFormat="1" ht="25.5" customHeight="1" x14ac:dyDescent="0.2">
      <c r="A8" s="34">
        <v>2</v>
      </c>
      <c r="B8" s="379" t="str">
        <f>IFERROR(VLOOKUP($B$4&amp;$G$4&amp;$A8,Hoja3!A2:E134,5,FALSE),"")</f>
        <v>COMUNICACIÓN EN LENGUA MATERNA (CASTELLANO)</v>
      </c>
      <c r="C8" s="10">
        <v>4</v>
      </c>
      <c r="D8" s="512"/>
      <c r="E8" s="101">
        <f>+C8*$D$7</f>
        <v>4</v>
      </c>
      <c r="F8" s="10">
        <v>4</v>
      </c>
      <c r="G8" s="515"/>
      <c r="H8" s="113">
        <f>+F8*$G$7</f>
        <v>4</v>
      </c>
      <c r="I8" s="10">
        <v>4</v>
      </c>
      <c r="J8" s="515"/>
      <c r="K8" s="114">
        <f>+I8*$J$7</f>
        <v>4</v>
      </c>
      <c r="L8" s="10">
        <v>4</v>
      </c>
      <c r="M8" s="518"/>
      <c r="N8" s="114">
        <f>+L8*$M$7</f>
        <v>4</v>
      </c>
      <c r="O8" s="10">
        <v>4</v>
      </c>
      <c r="P8" s="512"/>
      <c r="Q8" s="114">
        <f>+O8*$P$7</f>
        <v>4</v>
      </c>
      <c r="R8" s="118">
        <f>+E8+H8+K8+N8+Q8</f>
        <v>20</v>
      </c>
      <c r="S8" s="515"/>
      <c r="T8" s="119">
        <f>+E8+H8+K8+N8+Q8</f>
        <v>20</v>
      </c>
    </row>
    <row r="9" spans="1:20" s="34" customFormat="1" ht="25.5" customHeight="1" x14ac:dyDescent="0.2">
      <c r="A9" s="34">
        <v>3</v>
      </c>
      <c r="B9" s="379" t="str">
        <f>IFERROR(VLOOKUP($B$4&amp;$G$4&amp;$A9,Hoja3!A3:E135,5,FALSE),"")</f>
        <v>COMUNICACIÓN EN SEGUNDA LENGUA (LENGUA ORIGINARIA)</v>
      </c>
      <c r="C9" s="10">
        <v>3</v>
      </c>
      <c r="D9" s="512"/>
      <c r="E9" s="101">
        <f t="shared" ref="E9:E19" si="0">+C9*$D$7</f>
        <v>3</v>
      </c>
      <c r="F9" s="10">
        <v>3</v>
      </c>
      <c r="G9" s="515"/>
      <c r="H9" s="113">
        <f>+F9*$G$7</f>
        <v>3</v>
      </c>
      <c r="I9" s="10">
        <v>3</v>
      </c>
      <c r="J9" s="515"/>
      <c r="K9" s="114">
        <f t="shared" ref="K9:K19" si="1">+I9*$J$7</f>
        <v>3</v>
      </c>
      <c r="L9" s="10">
        <v>3</v>
      </c>
      <c r="M9" s="518"/>
      <c r="N9" s="114">
        <f t="shared" ref="N9:N19" si="2">+L9*$M$7</f>
        <v>3</v>
      </c>
      <c r="O9" s="10">
        <v>3</v>
      </c>
      <c r="P9" s="512"/>
      <c r="Q9" s="114">
        <f t="shared" ref="Q9:Q19" si="3">+O9*$P$7</f>
        <v>3</v>
      </c>
      <c r="R9" s="118">
        <f t="shared" ref="R9:R19" si="4">+E9+H9+K9+N9+Q9</f>
        <v>15</v>
      </c>
      <c r="S9" s="515"/>
      <c r="T9" s="119">
        <f t="shared" ref="T9:T19" si="5">+E9+H9+K9+N9+Q9</f>
        <v>15</v>
      </c>
    </row>
    <row r="10" spans="1:20" s="34" customFormat="1" ht="25.5" customHeight="1" x14ac:dyDescent="0.2">
      <c r="A10" s="34">
        <v>4</v>
      </c>
      <c r="B10" s="379" t="str">
        <f>IFERROR(VLOOKUP($B$4&amp;$G$4&amp;$A10,Hoja3!A5:E136,5,FALSE),"")</f>
        <v>INGLES</v>
      </c>
      <c r="C10" s="11">
        <v>2</v>
      </c>
      <c r="D10" s="512"/>
      <c r="E10" s="101">
        <f t="shared" si="0"/>
        <v>2</v>
      </c>
      <c r="F10" s="11">
        <v>2</v>
      </c>
      <c r="G10" s="515"/>
      <c r="H10" s="114">
        <f t="shared" ref="H10:H19" si="6">+F10*$G$7</f>
        <v>2</v>
      </c>
      <c r="I10" s="11">
        <v>2</v>
      </c>
      <c r="J10" s="515"/>
      <c r="K10" s="114">
        <f t="shared" si="1"/>
        <v>2</v>
      </c>
      <c r="L10" s="11">
        <v>2</v>
      </c>
      <c r="M10" s="518"/>
      <c r="N10" s="114">
        <f t="shared" si="2"/>
        <v>2</v>
      </c>
      <c r="O10" s="11">
        <v>2</v>
      </c>
      <c r="P10" s="512"/>
      <c r="Q10" s="114">
        <f t="shared" si="3"/>
        <v>2</v>
      </c>
      <c r="R10" s="118">
        <f t="shared" si="4"/>
        <v>10</v>
      </c>
      <c r="S10" s="515"/>
      <c r="T10" s="119">
        <f t="shared" si="5"/>
        <v>10</v>
      </c>
    </row>
    <row r="11" spans="1:20" s="34" customFormat="1" ht="25.5" customHeight="1" x14ac:dyDescent="0.2">
      <c r="A11" s="34">
        <v>5</v>
      </c>
      <c r="B11" s="379" t="str">
        <f>IFERROR(VLOOKUP($B$4&amp;$G$4&amp;$A11,Hoja3!A6:E137,5,FALSE),"")</f>
        <v>ARTE Y CULTURA</v>
      </c>
      <c r="C11" s="11">
        <v>3</v>
      </c>
      <c r="D11" s="512"/>
      <c r="E11" s="101">
        <f t="shared" si="0"/>
        <v>3</v>
      </c>
      <c r="F11" s="11">
        <v>3</v>
      </c>
      <c r="G11" s="515"/>
      <c r="H11" s="114">
        <f t="shared" si="6"/>
        <v>3</v>
      </c>
      <c r="I11" s="11">
        <v>3</v>
      </c>
      <c r="J11" s="515"/>
      <c r="K11" s="114">
        <f t="shared" si="1"/>
        <v>3</v>
      </c>
      <c r="L11" s="11">
        <v>3</v>
      </c>
      <c r="M11" s="518"/>
      <c r="N11" s="114">
        <f t="shared" si="2"/>
        <v>3</v>
      </c>
      <c r="O11" s="11">
        <v>3</v>
      </c>
      <c r="P11" s="512"/>
      <c r="Q11" s="114">
        <f t="shared" si="3"/>
        <v>3</v>
      </c>
      <c r="R11" s="118">
        <f t="shared" si="4"/>
        <v>15</v>
      </c>
      <c r="S11" s="515"/>
      <c r="T11" s="119">
        <f t="shared" si="5"/>
        <v>15</v>
      </c>
    </row>
    <row r="12" spans="1:20" s="34" customFormat="1" ht="25.5" customHeight="1" x14ac:dyDescent="0.2">
      <c r="A12" s="34">
        <v>6</v>
      </c>
      <c r="B12" s="379" t="str">
        <f>IFERROR(VLOOKUP($B$4&amp;$G$4&amp;$A12,Hoja3!A7:E138,5,FALSE),"")</f>
        <v>CIENCIAS SOCIALES</v>
      </c>
      <c r="C12" s="11">
        <v>3</v>
      </c>
      <c r="D12" s="512"/>
      <c r="E12" s="101">
        <f t="shared" si="0"/>
        <v>3</v>
      </c>
      <c r="F12" s="11">
        <v>3</v>
      </c>
      <c r="G12" s="515"/>
      <c r="H12" s="114">
        <f t="shared" si="6"/>
        <v>3</v>
      </c>
      <c r="I12" s="11">
        <v>3</v>
      </c>
      <c r="J12" s="515"/>
      <c r="K12" s="114">
        <f t="shared" si="1"/>
        <v>3</v>
      </c>
      <c r="L12" s="11">
        <v>3</v>
      </c>
      <c r="M12" s="518"/>
      <c r="N12" s="114">
        <f t="shared" si="2"/>
        <v>3</v>
      </c>
      <c r="O12" s="11">
        <v>3</v>
      </c>
      <c r="P12" s="512"/>
      <c r="Q12" s="114">
        <f t="shared" si="3"/>
        <v>3</v>
      </c>
      <c r="R12" s="118">
        <f t="shared" si="4"/>
        <v>15</v>
      </c>
      <c r="S12" s="515"/>
      <c r="T12" s="119">
        <f t="shared" si="5"/>
        <v>15</v>
      </c>
    </row>
    <row r="13" spans="1:20" s="34" customFormat="1" ht="25.5" customHeight="1" x14ac:dyDescent="0.2">
      <c r="A13" s="34">
        <v>7</v>
      </c>
      <c r="B13" s="379" t="str">
        <f>IFERROR(VLOOKUP($B$4&amp;$G$4&amp;$A13,Hoja3!A8:E139,5,FALSE),"")</f>
        <v>DESARROLLO PERSONAL, CIUDADANIA Y CIVICA</v>
      </c>
      <c r="C13" s="11">
        <v>3</v>
      </c>
      <c r="D13" s="512"/>
      <c r="E13" s="101">
        <f t="shared" si="0"/>
        <v>3</v>
      </c>
      <c r="F13" s="11">
        <v>3</v>
      </c>
      <c r="G13" s="515"/>
      <c r="H13" s="114">
        <f t="shared" si="6"/>
        <v>3</v>
      </c>
      <c r="I13" s="11">
        <v>3</v>
      </c>
      <c r="J13" s="515"/>
      <c r="K13" s="114">
        <f t="shared" si="1"/>
        <v>3</v>
      </c>
      <c r="L13" s="11">
        <v>3</v>
      </c>
      <c r="M13" s="518"/>
      <c r="N13" s="114">
        <f t="shared" si="2"/>
        <v>3</v>
      </c>
      <c r="O13" s="11">
        <v>3</v>
      </c>
      <c r="P13" s="512"/>
      <c r="Q13" s="114">
        <f t="shared" si="3"/>
        <v>3</v>
      </c>
      <c r="R13" s="118">
        <f t="shared" si="4"/>
        <v>15</v>
      </c>
      <c r="S13" s="515"/>
      <c r="T13" s="119">
        <f t="shared" si="5"/>
        <v>15</v>
      </c>
    </row>
    <row r="14" spans="1:20" s="34" customFormat="1" ht="25.5" customHeight="1" x14ac:dyDescent="0.2">
      <c r="A14" s="34">
        <v>8</v>
      </c>
      <c r="B14" s="379" t="str">
        <f>IFERROR(VLOOKUP($B$4&amp;$G$4&amp;$A14,Hoja3!A9:E140,5,FALSE),"")</f>
        <v>EDUCACION FISICA</v>
      </c>
      <c r="C14" s="11">
        <v>3</v>
      </c>
      <c r="D14" s="512"/>
      <c r="E14" s="101">
        <f t="shared" si="0"/>
        <v>3</v>
      </c>
      <c r="F14" s="11">
        <v>3</v>
      </c>
      <c r="G14" s="515"/>
      <c r="H14" s="114">
        <f t="shared" si="6"/>
        <v>3</v>
      </c>
      <c r="I14" s="11">
        <v>3</v>
      </c>
      <c r="J14" s="515"/>
      <c r="K14" s="114">
        <f t="shared" si="1"/>
        <v>3</v>
      </c>
      <c r="L14" s="11">
        <v>3</v>
      </c>
      <c r="M14" s="518"/>
      <c r="N14" s="114">
        <f t="shared" si="2"/>
        <v>3</v>
      </c>
      <c r="O14" s="11">
        <v>3</v>
      </c>
      <c r="P14" s="512"/>
      <c r="Q14" s="114">
        <f t="shared" si="3"/>
        <v>3</v>
      </c>
      <c r="R14" s="118">
        <f t="shared" si="4"/>
        <v>15</v>
      </c>
      <c r="S14" s="515"/>
      <c r="T14" s="119">
        <f t="shared" si="5"/>
        <v>15</v>
      </c>
    </row>
    <row r="15" spans="1:20" s="34" customFormat="1" ht="25.5" customHeight="1" x14ac:dyDescent="0.2">
      <c r="A15" s="34">
        <v>9</v>
      </c>
      <c r="B15" s="379" t="str">
        <f>IFERROR(VLOOKUP($B$4&amp;$G$4&amp;$A15,Hoja3!A10:E141,5,FALSE),"")</f>
        <v>EDUCACION RELIGIOSA</v>
      </c>
      <c r="C15" s="11">
        <v>2</v>
      </c>
      <c r="D15" s="512"/>
      <c r="E15" s="101">
        <f t="shared" si="0"/>
        <v>2</v>
      </c>
      <c r="F15" s="11">
        <v>2</v>
      </c>
      <c r="G15" s="515"/>
      <c r="H15" s="114">
        <f t="shared" si="6"/>
        <v>2</v>
      </c>
      <c r="I15" s="11">
        <v>2</v>
      </c>
      <c r="J15" s="515"/>
      <c r="K15" s="114">
        <f t="shared" si="1"/>
        <v>2</v>
      </c>
      <c r="L15" s="11">
        <v>2</v>
      </c>
      <c r="M15" s="518"/>
      <c r="N15" s="114">
        <f t="shared" si="2"/>
        <v>2</v>
      </c>
      <c r="O15" s="11">
        <v>2</v>
      </c>
      <c r="P15" s="512"/>
      <c r="Q15" s="114">
        <f t="shared" si="3"/>
        <v>2</v>
      </c>
      <c r="R15" s="118">
        <f t="shared" si="4"/>
        <v>10</v>
      </c>
      <c r="S15" s="515"/>
      <c r="T15" s="119">
        <f t="shared" si="5"/>
        <v>10</v>
      </c>
    </row>
    <row r="16" spans="1:20" s="34" customFormat="1" ht="25.5" customHeight="1" x14ac:dyDescent="0.2">
      <c r="A16" s="34">
        <v>10</v>
      </c>
      <c r="B16" s="379" t="str">
        <f>IFERROR(VLOOKUP($B$4&amp;$G$4&amp;$A16,Hoja3!A11:E142,5,FALSE),"")</f>
        <v>CIENCIA Y TECNOLOGIA</v>
      </c>
      <c r="C16" s="11">
        <v>4</v>
      </c>
      <c r="D16" s="512"/>
      <c r="E16" s="101">
        <f t="shared" si="0"/>
        <v>4</v>
      </c>
      <c r="F16" s="11">
        <v>4</v>
      </c>
      <c r="G16" s="515"/>
      <c r="H16" s="114">
        <f t="shared" si="6"/>
        <v>4</v>
      </c>
      <c r="I16" s="11">
        <v>4</v>
      </c>
      <c r="J16" s="515"/>
      <c r="K16" s="114">
        <f t="shared" si="1"/>
        <v>4</v>
      </c>
      <c r="L16" s="11">
        <v>4</v>
      </c>
      <c r="M16" s="518"/>
      <c r="N16" s="114">
        <f t="shared" si="2"/>
        <v>4</v>
      </c>
      <c r="O16" s="11">
        <v>4</v>
      </c>
      <c r="P16" s="512"/>
      <c r="Q16" s="114">
        <f t="shared" si="3"/>
        <v>4</v>
      </c>
      <c r="R16" s="118">
        <f t="shared" si="4"/>
        <v>20</v>
      </c>
      <c r="S16" s="515"/>
      <c r="T16" s="119">
        <f t="shared" si="5"/>
        <v>20</v>
      </c>
    </row>
    <row r="17" spans="1:20" s="34" customFormat="1" ht="25.5" customHeight="1" x14ac:dyDescent="0.2">
      <c r="A17" s="34">
        <v>11</v>
      </c>
      <c r="B17" s="379" t="str">
        <f>IFERROR(VLOOKUP($B$4&amp;$G$4&amp;$A17,Hoja3!A12:E143,5,FALSE),"")</f>
        <v>EDUCACION PARA EL TRABAJO</v>
      </c>
      <c r="C17" s="11">
        <v>2</v>
      </c>
      <c r="D17" s="512"/>
      <c r="E17" s="101">
        <f t="shared" si="0"/>
        <v>2</v>
      </c>
      <c r="F17" s="11">
        <v>2</v>
      </c>
      <c r="G17" s="515"/>
      <c r="H17" s="114">
        <f t="shared" si="6"/>
        <v>2</v>
      </c>
      <c r="I17" s="11">
        <v>2</v>
      </c>
      <c r="J17" s="515"/>
      <c r="K17" s="114">
        <f t="shared" si="1"/>
        <v>2</v>
      </c>
      <c r="L17" s="11">
        <v>2</v>
      </c>
      <c r="M17" s="518"/>
      <c r="N17" s="114">
        <f t="shared" si="2"/>
        <v>2</v>
      </c>
      <c r="O17" s="11">
        <v>2</v>
      </c>
      <c r="P17" s="512"/>
      <c r="Q17" s="114">
        <f t="shared" si="3"/>
        <v>2</v>
      </c>
      <c r="R17" s="118">
        <f t="shared" si="4"/>
        <v>10</v>
      </c>
      <c r="S17" s="515"/>
      <c r="T17" s="119">
        <f t="shared" si="5"/>
        <v>10</v>
      </c>
    </row>
    <row r="18" spans="1:20" s="34" customFormat="1" ht="25.5" customHeight="1" x14ac:dyDescent="0.2">
      <c r="A18" s="34">
        <v>12</v>
      </c>
      <c r="B18" s="379" t="str">
        <f>IFERROR(VLOOKUP($B$4&amp;$G$4&amp;$A18,Hoja3!A13:E144,5,FALSE),"")</f>
        <v>TUTORIA Y ORIENTACION EDUCATIVA</v>
      </c>
      <c r="C18" s="10">
        <v>2</v>
      </c>
      <c r="D18" s="512"/>
      <c r="E18" s="101">
        <f t="shared" si="0"/>
        <v>2</v>
      </c>
      <c r="F18" s="10">
        <v>2</v>
      </c>
      <c r="G18" s="515"/>
      <c r="H18" s="114">
        <f t="shared" si="6"/>
        <v>2</v>
      </c>
      <c r="I18" s="10">
        <v>2</v>
      </c>
      <c r="J18" s="515"/>
      <c r="K18" s="114">
        <f t="shared" si="1"/>
        <v>2</v>
      </c>
      <c r="L18" s="10">
        <v>2</v>
      </c>
      <c r="M18" s="518"/>
      <c r="N18" s="114">
        <f t="shared" si="2"/>
        <v>2</v>
      </c>
      <c r="O18" s="10">
        <v>2</v>
      </c>
      <c r="P18" s="512"/>
      <c r="Q18" s="114">
        <f t="shared" si="3"/>
        <v>2</v>
      </c>
      <c r="R18" s="118">
        <f t="shared" si="4"/>
        <v>10</v>
      </c>
      <c r="S18" s="515"/>
      <c r="T18" s="119">
        <f t="shared" si="5"/>
        <v>10</v>
      </c>
    </row>
    <row r="19" spans="1:20" s="34" customFormat="1" ht="25.5" customHeight="1" thickBot="1" x14ac:dyDescent="0.25">
      <c r="A19" s="34">
        <v>13</v>
      </c>
      <c r="B19" s="379" t="str">
        <f>IFERROR(VLOOKUP($B$4&amp;$G$4&amp;$A19,Hoja3!A14:E145,5,FALSE),"")</f>
        <v>Horas de libre disponibilidad</v>
      </c>
      <c r="C19" s="148"/>
      <c r="D19" s="512"/>
      <c r="E19" s="101">
        <f t="shared" si="0"/>
        <v>0</v>
      </c>
      <c r="F19" s="148"/>
      <c r="G19" s="515"/>
      <c r="H19" s="114">
        <f t="shared" si="6"/>
        <v>0</v>
      </c>
      <c r="I19" s="148"/>
      <c r="J19" s="515"/>
      <c r="K19" s="114">
        <f t="shared" si="1"/>
        <v>0</v>
      </c>
      <c r="L19" s="148"/>
      <c r="M19" s="518"/>
      <c r="N19" s="114">
        <f t="shared" si="2"/>
        <v>0</v>
      </c>
      <c r="O19" s="148"/>
      <c r="P19" s="512"/>
      <c r="Q19" s="114">
        <f t="shared" si="3"/>
        <v>0</v>
      </c>
      <c r="R19" s="118">
        <f t="shared" si="4"/>
        <v>0</v>
      </c>
      <c r="S19" s="515"/>
      <c r="T19" s="119">
        <f t="shared" si="5"/>
        <v>0</v>
      </c>
    </row>
    <row r="20" spans="1:20" s="34" customFormat="1" ht="22.5" customHeight="1" thickBot="1" x14ac:dyDescent="0.25">
      <c r="B20" s="35" t="s">
        <v>81</v>
      </c>
      <c r="C20" s="120">
        <f>SUM(C7:C19)</f>
        <v>35</v>
      </c>
      <c r="D20" s="513"/>
      <c r="E20" s="112">
        <f>SUM(E7:E19)</f>
        <v>35</v>
      </c>
      <c r="F20" s="120">
        <f>SUM(F7:F19)</f>
        <v>35</v>
      </c>
      <c r="G20" s="516"/>
      <c r="H20" s="115">
        <f>SUM(H7:H19)</f>
        <v>35</v>
      </c>
      <c r="I20" s="120">
        <f>SUM(I7:I19)</f>
        <v>35</v>
      </c>
      <c r="J20" s="516"/>
      <c r="K20" s="115">
        <f>SUM(K7:K19)</f>
        <v>35</v>
      </c>
      <c r="L20" s="120">
        <f>SUM(L7:L19)</f>
        <v>35</v>
      </c>
      <c r="M20" s="519"/>
      <c r="N20" s="112">
        <f>SUM(N7:N19)</f>
        <v>35</v>
      </c>
      <c r="O20" s="120">
        <f>SUM(O7:O19)</f>
        <v>35</v>
      </c>
      <c r="P20" s="513"/>
      <c r="Q20" s="112">
        <f>SUM(Q7:Q19)</f>
        <v>35</v>
      </c>
      <c r="R20" s="120">
        <f>SUM(R7:R19)</f>
        <v>175</v>
      </c>
      <c r="S20" s="516"/>
      <c r="T20" s="121">
        <f>SUM(T7:T19)</f>
        <v>175</v>
      </c>
    </row>
    <row r="21" spans="1:20" s="4" customFormat="1" ht="18" customHeight="1" x14ac:dyDescent="0.2">
      <c r="B21" s="36"/>
      <c r="C21" s="37"/>
      <c r="D21" s="38" t="s">
        <v>40</v>
      </c>
      <c r="E21" s="38"/>
      <c r="F21" s="38"/>
      <c r="G21" s="38" t="s">
        <v>36</v>
      </c>
      <c r="H21" s="38"/>
      <c r="I21" s="38"/>
      <c r="J21" s="38" t="s">
        <v>37</v>
      </c>
      <c r="K21" s="38"/>
      <c r="L21" s="38"/>
      <c r="M21" s="38" t="s">
        <v>38</v>
      </c>
      <c r="N21" s="38"/>
      <c r="O21" s="38"/>
      <c r="P21" s="38" t="s">
        <v>39</v>
      </c>
      <c r="Q21" s="37"/>
      <c r="R21" s="8"/>
      <c r="T21" s="39"/>
    </row>
    <row r="22" spans="1:20" s="4" customFormat="1" ht="21.75" customHeight="1" x14ac:dyDescent="0.2">
      <c r="B22" s="36"/>
      <c r="C22" s="128" t="s">
        <v>79</v>
      </c>
      <c r="D22" s="506" t="s">
        <v>479</v>
      </c>
      <c r="E22" s="507"/>
      <c r="F22" s="128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</row>
    <row r="23" spans="1:20" s="4" customFormat="1" ht="21.75" customHeight="1" x14ac:dyDescent="0.2">
      <c r="B23" s="36"/>
      <c r="C23" s="128" t="s">
        <v>80</v>
      </c>
      <c r="D23" s="506" t="str">
        <f>IF(INICIO!$Z$8="JEC","ARTE Y CULTURA",IF(INICIO!$Z$8="JEC","MATEMÁTICA",""))</f>
        <v/>
      </c>
      <c r="E23" s="507"/>
      <c r="F23" s="128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</row>
    <row r="24" spans="1:20" s="4" customFormat="1" ht="21.75" customHeight="1" x14ac:dyDescent="0.2">
      <c r="B24" s="36"/>
      <c r="C24" s="128" t="s">
        <v>345</v>
      </c>
      <c r="D24" s="504" t="str">
        <f>IF(INICIO!$Z$8="JEC","CIENCIA Y TECNOLOGÍA","")</f>
        <v/>
      </c>
      <c r="E24" s="505"/>
      <c r="F24" s="128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5"/>
      <c r="S24" s="275"/>
    </row>
    <row r="25" spans="1:20" s="4" customFormat="1" ht="21.75" customHeight="1" x14ac:dyDescent="0.2">
      <c r="C25" s="508" t="s">
        <v>8</v>
      </c>
      <c r="D25" s="509"/>
      <c r="E25" s="510"/>
      <c r="F25" s="152">
        <f>SUM(F22:F24)</f>
        <v>0</v>
      </c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5"/>
      <c r="R25" s="275"/>
      <c r="S25" s="275"/>
    </row>
  </sheetData>
  <sheetProtection password="C280" sheet="1" objects="1" scenarios="1"/>
  <mergeCells count="18">
    <mergeCell ref="D24:E24"/>
    <mergeCell ref="D22:E22"/>
    <mergeCell ref="C25:E25"/>
    <mergeCell ref="D7:D20"/>
    <mergeCell ref="S7:S20"/>
    <mergeCell ref="P7:P20"/>
    <mergeCell ref="M7:M20"/>
    <mergeCell ref="J7:J20"/>
    <mergeCell ref="G7:G20"/>
    <mergeCell ref="D23:E23"/>
    <mergeCell ref="B2:T2"/>
    <mergeCell ref="B5:B6"/>
    <mergeCell ref="C5:E5"/>
    <mergeCell ref="F5:H5"/>
    <mergeCell ref="I5:K5"/>
    <mergeCell ref="L5:N5"/>
    <mergeCell ref="O5:Q5"/>
    <mergeCell ref="R5:T5"/>
  </mergeCells>
  <phoneticPr fontId="0" type="noConversion"/>
  <printOptions horizontalCentered="1"/>
  <pageMargins left="0.31496062992125984" right="0.27559055118110237" top="0.98425196850393704" bottom="0.98425196850393704" header="0" footer="0"/>
  <pageSetup paperSize="9" scale="73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B93C-6747-4487-8939-88B23FADD4A4}">
  <sheetPr codeName="Hoja13">
    <tabColor rgb="FF92D050"/>
  </sheetPr>
  <dimension ref="A1:V119"/>
  <sheetViews>
    <sheetView zoomScale="111" zoomScaleNormal="100" zoomScaleSheetLayoutView="12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O63" sqref="O63:O64"/>
    </sheetView>
  </sheetViews>
  <sheetFormatPr baseColWidth="10" defaultColWidth="11.42578125" defaultRowHeight="12.75" x14ac:dyDescent="0.2"/>
  <cols>
    <col min="1" max="1" width="3.7109375" style="65" customWidth="1"/>
    <col min="2" max="2" width="12.85546875" style="65" customWidth="1"/>
    <col min="3" max="3" width="34.140625" style="107" customWidth="1"/>
    <col min="4" max="4" width="3.7109375" style="130" customWidth="1"/>
    <col min="5" max="5" width="3.7109375" style="130" hidden="1" customWidth="1"/>
    <col min="6" max="6" width="3.7109375" style="130" customWidth="1"/>
    <col min="7" max="7" width="3.7109375" style="130" hidden="1" customWidth="1"/>
    <col min="8" max="8" width="3.7109375" style="130" customWidth="1"/>
    <col min="9" max="9" width="3.7109375" style="130" hidden="1" customWidth="1"/>
    <col min="10" max="10" width="3.7109375" style="130" customWidth="1"/>
    <col min="11" max="11" width="3.7109375" style="130" hidden="1" customWidth="1"/>
    <col min="12" max="12" width="3.7109375" style="130" customWidth="1"/>
    <col min="13" max="13" width="3.7109375" style="130" hidden="1" customWidth="1"/>
    <col min="14" max="14" width="7.7109375" style="106" customWidth="1"/>
    <col min="15" max="15" width="27.85546875" style="108" customWidth="1"/>
    <col min="16" max="16" width="12.5703125" style="65" customWidth="1"/>
    <col min="17" max="19" width="11.42578125" style="65"/>
    <col min="20" max="20" width="12.85546875" style="65" bestFit="1" customWidth="1"/>
    <col min="21" max="16384" width="11.42578125" style="65"/>
  </cols>
  <sheetData>
    <row r="1" spans="1:22" ht="18" customHeight="1" x14ac:dyDescent="0.25">
      <c r="A1" s="288"/>
      <c r="B1" s="288" t="str">
        <f>INICIO!B8</f>
        <v>ANTONIO RAYMONDI</v>
      </c>
      <c r="C1" s="289" t="str">
        <f>INICIO!Z8</f>
        <v>JER-EIB</v>
      </c>
      <c r="O1" s="528" t="s">
        <v>91</v>
      </c>
      <c r="P1" s="528"/>
      <c r="Q1" s="528"/>
    </row>
    <row r="2" spans="1:22" ht="18" x14ac:dyDescent="0.25">
      <c r="A2" s="529" t="s">
        <v>500</v>
      </c>
      <c r="B2" s="529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</row>
    <row r="3" spans="1:22" ht="13.5" thickBot="1" x14ac:dyDescent="0.25"/>
    <row r="4" spans="1:22" ht="12.75" customHeight="1" thickBot="1" x14ac:dyDescent="0.25">
      <c r="A4" s="535" t="s">
        <v>25</v>
      </c>
      <c r="B4" s="547" t="s">
        <v>35</v>
      </c>
      <c r="C4" s="548"/>
      <c r="D4" s="545" t="s">
        <v>0</v>
      </c>
      <c r="E4" s="545"/>
      <c r="F4" s="546" t="s">
        <v>1</v>
      </c>
      <c r="G4" s="546"/>
      <c r="H4" s="541" t="s">
        <v>2</v>
      </c>
      <c r="I4" s="541"/>
      <c r="J4" s="542" t="s">
        <v>3</v>
      </c>
      <c r="K4" s="542"/>
      <c r="L4" s="543" t="s">
        <v>4</v>
      </c>
      <c r="M4" s="543"/>
      <c r="N4" s="544" t="s">
        <v>88</v>
      </c>
      <c r="O4" s="522" t="s">
        <v>141</v>
      </c>
      <c r="P4" s="520" t="s">
        <v>148</v>
      </c>
      <c r="Q4" s="538" t="s">
        <v>150</v>
      </c>
    </row>
    <row r="5" spans="1:22" ht="13.5" thickBot="1" x14ac:dyDescent="0.25">
      <c r="A5" s="536"/>
      <c r="B5" s="549"/>
      <c r="C5" s="550"/>
      <c r="D5" s="380" t="s">
        <v>146</v>
      </c>
      <c r="E5" s="380"/>
      <c r="F5" s="380" t="s">
        <v>146</v>
      </c>
      <c r="G5" s="380" t="s">
        <v>147</v>
      </c>
      <c r="H5" s="380" t="s">
        <v>146</v>
      </c>
      <c r="I5" s="380" t="s">
        <v>147</v>
      </c>
      <c r="J5" s="380" t="s">
        <v>146</v>
      </c>
      <c r="K5" s="380" t="s">
        <v>147</v>
      </c>
      <c r="L5" s="380" t="s">
        <v>146</v>
      </c>
      <c r="M5" s="380" t="s">
        <v>147</v>
      </c>
      <c r="N5" s="544"/>
      <c r="O5" s="523"/>
      <c r="P5" s="521"/>
      <c r="Q5" s="539"/>
    </row>
    <row r="6" spans="1:22" ht="19.5" customHeight="1" thickBot="1" x14ac:dyDescent="0.25">
      <c r="A6" s="537"/>
      <c r="B6" s="551"/>
      <c r="C6" s="552"/>
      <c r="D6" s="290">
        <f>SUM(D7:D118)</f>
        <v>35</v>
      </c>
      <c r="E6" s="339"/>
      <c r="F6" s="291">
        <f t="shared" ref="F6:N6" si="0">SUM(F7:F118)</f>
        <v>35</v>
      </c>
      <c r="G6" s="291">
        <f t="shared" si="0"/>
        <v>0</v>
      </c>
      <c r="H6" s="291">
        <f t="shared" si="0"/>
        <v>35</v>
      </c>
      <c r="I6" s="291">
        <f t="shared" si="0"/>
        <v>0</v>
      </c>
      <c r="J6" s="291">
        <f t="shared" si="0"/>
        <v>35</v>
      </c>
      <c r="K6" s="291">
        <f t="shared" si="0"/>
        <v>0</v>
      </c>
      <c r="L6" s="291">
        <f t="shared" si="0"/>
        <v>35</v>
      </c>
      <c r="M6" s="291">
        <f t="shared" si="0"/>
        <v>0</v>
      </c>
      <c r="N6" s="292">
        <f t="shared" si="0"/>
        <v>175</v>
      </c>
      <c r="O6" s="524"/>
      <c r="P6" s="369">
        <f>ColorFunction(P119,$P$7:$P$118,"TRUE")</f>
        <v>175</v>
      </c>
      <c r="Q6" s="540"/>
      <c r="S6" s="320"/>
      <c r="T6" s="320"/>
      <c r="U6" s="320"/>
      <c r="V6" s="320"/>
    </row>
    <row r="7" spans="1:22" s="320" customFormat="1" ht="13.5" customHeight="1" thickBot="1" x14ac:dyDescent="0.25">
      <c r="A7" s="530">
        <v>1</v>
      </c>
      <c r="B7" s="319" t="s">
        <v>90</v>
      </c>
      <c r="C7" s="393" t="s">
        <v>200</v>
      </c>
      <c r="D7" s="131"/>
      <c r="E7" s="131"/>
      <c r="F7" s="332"/>
      <c r="G7" s="130"/>
      <c r="H7" s="131"/>
      <c r="I7" s="130"/>
      <c r="J7" s="332"/>
      <c r="K7" s="130"/>
      <c r="L7" s="131"/>
      <c r="M7" s="130"/>
      <c r="N7" s="137">
        <f t="shared" ref="N7:N14" si="1">SUM(D7:M7)</f>
        <v>0</v>
      </c>
      <c r="O7" s="330"/>
      <c r="P7" s="525">
        <f>+SUM(N7:N14)-P12-P13</f>
        <v>0</v>
      </c>
      <c r="Q7" s="527">
        <f>P14</f>
        <v>0</v>
      </c>
    </row>
    <row r="8" spans="1:22" s="320" customFormat="1" ht="15.75" customHeight="1" thickBot="1" x14ac:dyDescent="0.25">
      <c r="A8" s="531"/>
      <c r="B8" s="533" t="s">
        <v>501</v>
      </c>
      <c r="C8" s="534"/>
      <c r="D8" s="131"/>
      <c r="E8" s="131"/>
      <c r="F8" s="333"/>
      <c r="G8" s="130"/>
      <c r="H8" s="131"/>
      <c r="I8" s="130"/>
      <c r="J8" s="333"/>
      <c r="K8" s="130"/>
      <c r="L8" s="131"/>
      <c r="M8" s="130"/>
      <c r="N8" s="137">
        <f t="shared" si="1"/>
        <v>0</v>
      </c>
      <c r="O8" s="331"/>
      <c r="P8" s="526"/>
      <c r="Q8" s="527"/>
    </row>
    <row r="9" spans="1:22" s="320" customFormat="1" ht="15.75" customHeight="1" thickBot="1" x14ac:dyDescent="0.25">
      <c r="A9" s="531"/>
      <c r="B9" s="282" t="s">
        <v>46</v>
      </c>
      <c r="C9"/>
      <c r="D9" s="131"/>
      <c r="E9" s="131"/>
      <c r="F9" s="333"/>
      <c r="G9" s="130"/>
      <c r="H9" s="131"/>
      <c r="I9" s="130"/>
      <c r="J9" s="333"/>
      <c r="K9" s="130"/>
      <c r="L9" s="131"/>
      <c r="M9" s="130"/>
      <c r="N9" s="137">
        <f t="shared" si="1"/>
        <v>0</v>
      </c>
      <c r="O9" s="331"/>
      <c r="P9" s="526"/>
      <c r="Q9" s="527"/>
    </row>
    <row r="10" spans="1:22" s="320" customFormat="1" ht="15.75" customHeight="1" thickBot="1" x14ac:dyDescent="0.25">
      <c r="A10" s="531"/>
      <c r="B10" s="282" t="s">
        <v>84</v>
      </c>
      <c r="C10" s="383" t="s">
        <v>502</v>
      </c>
      <c r="D10" s="131"/>
      <c r="E10" s="131"/>
      <c r="F10" s="333"/>
      <c r="G10" s="130"/>
      <c r="H10" s="131"/>
      <c r="I10" s="130"/>
      <c r="J10" s="333"/>
      <c r="K10" s="130"/>
      <c r="L10" s="131"/>
      <c r="M10" s="130"/>
      <c r="N10" s="137">
        <f t="shared" si="1"/>
        <v>0</v>
      </c>
      <c r="O10" s="331"/>
      <c r="P10" s="526"/>
      <c r="Q10" s="527"/>
    </row>
    <row r="11" spans="1:22" s="320" customFormat="1" ht="15.75" customHeight="1" thickBot="1" x14ac:dyDescent="0.25">
      <c r="A11" s="531"/>
      <c r="B11" s="282" t="s">
        <v>89</v>
      </c>
      <c r="C11" s="284"/>
      <c r="D11" s="131"/>
      <c r="E11" s="131"/>
      <c r="F11" s="333"/>
      <c r="G11" s="130"/>
      <c r="H11" s="131"/>
      <c r="I11" s="130"/>
      <c r="J11" s="333"/>
      <c r="K11" s="130"/>
      <c r="L11" s="131"/>
      <c r="M11" s="130"/>
      <c r="N11" s="137">
        <f t="shared" si="1"/>
        <v>0</v>
      </c>
      <c r="O11" s="331"/>
      <c r="P11" s="526"/>
      <c r="Q11" s="527"/>
    </row>
    <row r="12" spans="1:22" s="320" customFormat="1" ht="15.75" customHeight="1" thickBot="1" x14ac:dyDescent="0.25">
      <c r="A12" s="531"/>
      <c r="B12" s="282" t="s">
        <v>85</v>
      </c>
      <c r="C12" s="368" t="s">
        <v>491</v>
      </c>
      <c r="D12" s="131"/>
      <c r="E12" s="131"/>
      <c r="F12" s="333"/>
      <c r="G12" s="130"/>
      <c r="H12" s="131"/>
      <c r="I12" s="130"/>
      <c r="J12" s="333"/>
      <c r="K12" s="130"/>
      <c r="L12" s="131"/>
      <c r="M12" s="130"/>
      <c r="N12" s="137">
        <f t="shared" si="1"/>
        <v>0</v>
      </c>
      <c r="O12" s="331"/>
      <c r="P12" s="105"/>
      <c r="Q12" s="527"/>
    </row>
    <row r="13" spans="1:22" s="320" customFormat="1" ht="15.75" customHeight="1" thickBot="1" x14ac:dyDescent="0.25">
      <c r="A13" s="531"/>
      <c r="B13" s="282" t="s">
        <v>86</v>
      </c>
      <c r="C13" s="321"/>
      <c r="D13" s="131"/>
      <c r="E13" s="131"/>
      <c r="F13" s="333"/>
      <c r="G13" s="130"/>
      <c r="H13" s="131"/>
      <c r="I13" s="130"/>
      <c r="J13" s="333"/>
      <c r="K13" s="130"/>
      <c r="L13" s="131"/>
      <c r="M13" s="130"/>
      <c r="N13" s="137">
        <f t="shared" si="1"/>
        <v>0</v>
      </c>
      <c r="O13" s="331"/>
      <c r="P13" s="335"/>
      <c r="Q13" s="527"/>
    </row>
    <row r="14" spans="1:22" s="320" customFormat="1" ht="15.75" customHeight="1" thickBot="1" x14ac:dyDescent="0.25">
      <c r="A14" s="532"/>
      <c r="B14" s="285" t="s">
        <v>87</v>
      </c>
      <c r="C14" s="322" t="s">
        <v>106</v>
      </c>
      <c r="D14" s="132"/>
      <c r="E14" s="132"/>
      <c r="F14" s="334"/>
      <c r="G14" s="130"/>
      <c r="H14" s="132"/>
      <c r="I14" s="133"/>
      <c r="J14" s="334"/>
      <c r="K14" s="133"/>
      <c r="L14" s="132"/>
      <c r="M14" s="133"/>
      <c r="N14" s="138">
        <f t="shared" si="1"/>
        <v>0</v>
      </c>
      <c r="O14" s="338" t="s">
        <v>88</v>
      </c>
      <c r="P14" s="336">
        <f>SUM(P7:P13)</f>
        <v>0</v>
      </c>
      <c r="Q14" s="527"/>
    </row>
    <row r="15" spans="1:22" s="320" customFormat="1" ht="15.75" customHeight="1" thickBot="1" x14ac:dyDescent="0.25">
      <c r="A15" s="530">
        <v>2</v>
      </c>
      <c r="B15" s="319" t="s">
        <v>90</v>
      </c>
      <c r="C15" s="394" t="s">
        <v>219</v>
      </c>
      <c r="D15" s="131">
        <v>3</v>
      </c>
      <c r="E15" s="131"/>
      <c r="F15" s="333">
        <v>3</v>
      </c>
      <c r="G15" s="135"/>
      <c r="H15" s="131">
        <v>3</v>
      </c>
      <c r="I15" s="135"/>
      <c r="J15" s="332">
        <v>3</v>
      </c>
      <c r="K15" s="135"/>
      <c r="L15" s="131">
        <v>3</v>
      </c>
      <c r="M15" s="135"/>
      <c r="N15" s="137">
        <f t="shared" ref="N15:N21" si="2">SUM(D15:L15)</f>
        <v>15</v>
      </c>
      <c r="O15" s="331" t="s">
        <v>504</v>
      </c>
      <c r="P15" s="525">
        <f>+SUM(N15:N22)-P20-P21</f>
        <v>26</v>
      </c>
      <c r="Q15" s="527">
        <f>P22</f>
        <v>26</v>
      </c>
    </row>
    <row r="16" spans="1:22" s="320" customFormat="1" ht="15.75" customHeight="1" thickBot="1" x14ac:dyDescent="0.25">
      <c r="A16" s="531"/>
      <c r="B16" s="533" t="s">
        <v>503</v>
      </c>
      <c r="C16" s="534"/>
      <c r="D16" s="131">
        <v>3</v>
      </c>
      <c r="E16" s="131"/>
      <c r="F16" s="333">
        <v>3</v>
      </c>
      <c r="G16" s="130"/>
      <c r="H16" s="131"/>
      <c r="I16" s="130"/>
      <c r="J16" s="333"/>
      <c r="K16" s="130"/>
      <c r="L16" s="131">
        <v>3</v>
      </c>
      <c r="M16" s="130"/>
      <c r="N16" s="137">
        <f t="shared" si="2"/>
        <v>9</v>
      </c>
      <c r="O16" s="331" t="s">
        <v>505</v>
      </c>
      <c r="P16" s="526"/>
      <c r="Q16" s="527"/>
    </row>
    <row r="17" spans="1:17" s="320" customFormat="1" ht="15.75" customHeight="1" thickBot="1" x14ac:dyDescent="0.25">
      <c r="A17" s="531"/>
      <c r="B17" s="282" t="s">
        <v>46</v>
      </c>
      <c r="C17"/>
      <c r="D17" s="131"/>
      <c r="E17" s="131"/>
      <c r="F17" s="333"/>
      <c r="G17" s="130"/>
      <c r="H17" s="131"/>
      <c r="I17" s="130"/>
      <c r="J17" s="333"/>
      <c r="K17" s="130"/>
      <c r="L17" s="131">
        <v>2</v>
      </c>
      <c r="M17" s="130"/>
      <c r="N17" s="137">
        <f t="shared" si="2"/>
        <v>2</v>
      </c>
      <c r="O17" s="331" t="s">
        <v>506</v>
      </c>
      <c r="P17" s="526"/>
      <c r="Q17" s="527"/>
    </row>
    <row r="18" spans="1:17" s="320" customFormat="1" ht="15.75" customHeight="1" thickBot="1" x14ac:dyDescent="0.25">
      <c r="A18" s="531"/>
      <c r="B18" s="282" t="s">
        <v>84</v>
      </c>
      <c r="C18" s="383" t="s">
        <v>294</v>
      </c>
      <c r="D18" s="131"/>
      <c r="E18" s="131"/>
      <c r="F18" s="333"/>
      <c r="G18" s="130"/>
      <c r="H18" s="131"/>
      <c r="I18" s="130"/>
      <c r="J18" s="333"/>
      <c r="K18" s="130"/>
      <c r="L18" s="131"/>
      <c r="M18" s="130"/>
      <c r="N18" s="137">
        <f t="shared" si="2"/>
        <v>0</v>
      </c>
      <c r="O18" s="331"/>
      <c r="P18" s="526"/>
      <c r="Q18" s="527"/>
    </row>
    <row r="19" spans="1:17" s="320" customFormat="1" ht="15.75" customHeight="1" thickBot="1" x14ac:dyDescent="0.25">
      <c r="A19" s="531"/>
      <c r="B19" s="282" t="s">
        <v>89</v>
      </c>
      <c r="C19" s="284"/>
      <c r="D19" s="131"/>
      <c r="E19" s="131"/>
      <c r="F19" s="333"/>
      <c r="G19" s="130"/>
      <c r="H19" s="131"/>
      <c r="I19" s="130"/>
      <c r="J19" s="333"/>
      <c r="K19" s="130"/>
      <c r="L19" s="131"/>
      <c r="M19" s="130"/>
      <c r="N19" s="137">
        <f t="shared" si="2"/>
        <v>0</v>
      </c>
      <c r="O19" s="331"/>
      <c r="P19" s="526"/>
      <c r="Q19" s="527"/>
    </row>
    <row r="20" spans="1:17" s="320" customFormat="1" ht="15.75" customHeight="1" thickBot="1" x14ac:dyDescent="0.25">
      <c r="A20" s="531"/>
      <c r="B20" s="282" t="s">
        <v>85</v>
      </c>
      <c r="C20" s="368" t="s">
        <v>101</v>
      </c>
      <c r="D20" s="131"/>
      <c r="E20" s="131"/>
      <c r="F20" s="333"/>
      <c r="G20" s="130"/>
      <c r="H20" s="131"/>
      <c r="I20" s="130"/>
      <c r="J20" s="333"/>
      <c r="K20" s="130"/>
      <c r="L20" s="131"/>
      <c r="M20" s="130"/>
      <c r="N20" s="137">
        <f t="shared" si="2"/>
        <v>0</v>
      </c>
      <c r="O20" s="331"/>
      <c r="P20" s="105"/>
      <c r="Q20" s="527"/>
    </row>
    <row r="21" spans="1:17" s="320" customFormat="1" ht="15.75" customHeight="1" thickBot="1" x14ac:dyDescent="0.25">
      <c r="A21" s="531"/>
      <c r="B21" s="282" t="s">
        <v>86</v>
      </c>
      <c r="C21" s="321"/>
      <c r="D21" s="131"/>
      <c r="E21" s="131"/>
      <c r="F21" s="333"/>
      <c r="G21" s="130"/>
      <c r="H21" s="131"/>
      <c r="I21" s="130"/>
      <c r="J21" s="333"/>
      <c r="K21" s="130"/>
      <c r="L21" s="131"/>
      <c r="M21" s="130"/>
      <c r="N21" s="137">
        <f t="shared" si="2"/>
        <v>0</v>
      </c>
      <c r="O21" s="331"/>
      <c r="P21" s="335"/>
      <c r="Q21" s="527"/>
    </row>
    <row r="22" spans="1:17" s="320" customFormat="1" ht="15.75" customHeight="1" thickBot="1" x14ac:dyDescent="0.25">
      <c r="A22" s="532"/>
      <c r="B22" s="285" t="s">
        <v>87</v>
      </c>
      <c r="C22" s="322" t="s">
        <v>102</v>
      </c>
      <c r="D22" s="132"/>
      <c r="E22" s="132"/>
      <c r="F22" s="334"/>
      <c r="G22" s="133"/>
      <c r="H22" s="132"/>
      <c r="I22" s="133"/>
      <c r="J22" s="334"/>
      <c r="K22" s="133"/>
      <c r="L22" s="132"/>
      <c r="M22" s="133"/>
      <c r="N22" s="138">
        <f>SUM(D22:M22)</f>
        <v>0</v>
      </c>
      <c r="O22" s="338" t="s">
        <v>88</v>
      </c>
      <c r="P22" s="336">
        <f>SUM(P15:P21)</f>
        <v>26</v>
      </c>
      <c r="Q22" s="527"/>
    </row>
    <row r="23" spans="1:17" s="320" customFormat="1" ht="15.75" customHeight="1" thickBot="1" x14ac:dyDescent="0.25">
      <c r="A23" s="530">
        <v>3</v>
      </c>
      <c r="B23" s="319" t="s">
        <v>90</v>
      </c>
      <c r="C23" s="394" t="s">
        <v>208</v>
      </c>
      <c r="D23" s="131">
        <v>4</v>
      </c>
      <c r="E23" s="131"/>
      <c r="F23" s="333">
        <v>5</v>
      </c>
      <c r="G23" s="130"/>
      <c r="H23" s="131">
        <v>4</v>
      </c>
      <c r="I23" s="130"/>
      <c r="J23" s="333">
        <v>5</v>
      </c>
      <c r="K23" s="130"/>
      <c r="L23" s="131">
        <v>4</v>
      </c>
      <c r="M23" s="130"/>
      <c r="N23" s="137">
        <f>SUM(D23:M23)</f>
        <v>22</v>
      </c>
      <c r="O23" s="331" t="s">
        <v>11</v>
      </c>
      <c r="P23" s="525">
        <f>+SUM(N23:N30)-P28-P29</f>
        <v>24</v>
      </c>
      <c r="Q23" s="527">
        <f>P30</f>
        <v>24</v>
      </c>
    </row>
    <row r="24" spans="1:17" s="320" customFormat="1" ht="15.75" customHeight="1" thickBot="1" x14ac:dyDescent="0.25">
      <c r="A24" s="531"/>
      <c r="B24" s="533" t="s">
        <v>507</v>
      </c>
      <c r="C24" s="534"/>
      <c r="D24" s="131">
        <v>2</v>
      </c>
      <c r="E24" s="131"/>
      <c r="F24" s="333"/>
      <c r="G24" s="130"/>
      <c r="H24" s="131"/>
      <c r="I24" s="130"/>
      <c r="J24" s="333"/>
      <c r="K24" s="130"/>
      <c r="L24" s="131"/>
      <c r="M24" s="130"/>
      <c r="N24" s="137">
        <f t="shared" ref="N24:N29" si="3">SUM(D24:L24)</f>
        <v>2</v>
      </c>
      <c r="O24" s="331" t="s">
        <v>506</v>
      </c>
      <c r="P24" s="526"/>
      <c r="Q24" s="527"/>
    </row>
    <row r="25" spans="1:17" s="320" customFormat="1" ht="15.75" customHeight="1" thickBot="1" x14ac:dyDescent="0.25">
      <c r="A25" s="531"/>
      <c r="B25" s="282" t="s">
        <v>46</v>
      </c>
      <c r="C25"/>
      <c r="D25" s="389"/>
      <c r="E25" s="389"/>
      <c r="F25" s="387"/>
      <c r="G25" s="388"/>
      <c r="H25" s="389"/>
      <c r="I25" s="388"/>
      <c r="J25" s="387"/>
      <c r="K25" s="388"/>
      <c r="L25" s="389"/>
      <c r="M25" s="388"/>
      <c r="N25" s="391">
        <f t="shared" si="3"/>
        <v>0</v>
      </c>
      <c r="O25" s="390"/>
      <c r="P25" s="526"/>
      <c r="Q25" s="527"/>
    </row>
    <row r="26" spans="1:17" s="320" customFormat="1" ht="15.75" customHeight="1" thickBot="1" x14ac:dyDescent="0.25">
      <c r="A26" s="531"/>
      <c r="B26" s="282" t="s">
        <v>84</v>
      </c>
      <c r="C26" s="299" t="s">
        <v>156</v>
      </c>
      <c r="D26" s="131"/>
      <c r="E26" s="131"/>
      <c r="F26" s="333"/>
      <c r="G26" s="130"/>
      <c r="H26" s="131"/>
      <c r="I26" s="130"/>
      <c r="J26" s="333"/>
      <c r="K26" s="130"/>
      <c r="L26" s="131"/>
      <c r="M26" s="130"/>
      <c r="N26" s="137">
        <f t="shared" si="3"/>
        <v>0</v>
      </c>
      <c r="O26" s="331"/>
      <c r="P26" s="526"/>
      <c r="Q26" s="527"/>
    </row>
    <row r="27" spans="1:17" s="320" customFormat="1" ht="15.75" customHeight="1" thickBot="1" x14ac:dyDescent="0.25">
      <c r="A27" s="531"/>
      <c r="B27" s="282" t="s">
        <v>89</v>
      </c>
      <c r="C27" s="284" t="s">
        <v>492</v>
      </c>
      <c r="D27" s="131"/>
      <c r="E27" s="131"/>
      <c r="F27" s="333"/>
      <c r="G27" s="130"/>
      <c r="H27" s="131"/>
      <c r="I27" s="130"/>
      <c r="J27" s="333"/>
      <c r="K27" s="130"/>
      <c r="L27" s="131"/>
      <c r="M27" s="130"/>
      <c r="N27" s="137">
        <f t="shared" si="3"/>
        <v>0</v>
      </c>
      <c r="O27" s="331"/>
      <c r="P27" s="526"/>
      <c r="Q27" s="527"/>
    </row>
    <row r="28" spans="1:17" s="320" customFormat="1" ht="15.75" customHeight="1" thickBot="1" x14ac:dyDescent="0.25">
      <c r="A28" s="531"/>
      <c r="B28" s="282" t="s">
        <v>85</v>
      </c>
      <c r="C28" s="368" t="s">
        <v>101</v>
      </c>
      <c r="D28" s="131"/>
      <c r="E28" s="131"/>
      <c r="F28" s="333"/>
      <c r="G28" s="130"/>
      <c r="H28" s="131"/>
      <c r="I28" s="130"/>
      <c r="J28" s="333"/>
      <c r="K28" s="130"/>
      <c r="L28" s="131"/>
      <c r="M28" s="130"/>
      <c r="N28" s="137">
        <f t="shared" si="3"/>
        <v>0</v>
      </c>
      <c r="O28" s="331"/>
      <c r="P28" s="105"/>
      <c r="Q28" s="527"/>
    </row>
    <row r="29" spans="1:17" s="320" customFormat="1" ht="15.75" customHeight="1" thickBot="1" x14ac:dyDescent="0.25">
      <c r="A29" s="531"/>
      <c r="B29" s="282" t="s">
        <v>86</v>
      </c>
      <c r="C29" s="321"/>
      <c r="D29" s="131"/>
      <c r="E29" s="131"/>
      <c r="F29" s="333"/>
      <c r="G29" s="130"/>
      <c r="H29" s="131"/>
      <c r="I29" s="130"/>
      <c r="J29" s="333"/>
      <c r="K29" s="130"/>
      <c r="L29" s="131"/>
      <c r="M29" s="130"/>
      <c r="N29" s="137">
        <f t="shared" si="3"/>
        <v>0</v>
      </c>
      <c r="O29" s="331"/>
      <c r="P29" s="335"/>
      <c r="Q29" s="527"/>
    </row>
    <row r="30" spans="1:17" s="320" customFormat="1" ht="15.75" customHeight="1" thickBot="1" x14ac:dyDescent="0.25">
      <c r="A30" s="532"/>
      <c r="B30" s="285" t="s">
        <v>87</v>
      </c>
      <c r="C30" s="322" t="s">
        <v>508</v>
      </c>
      <c r="D30" s="131"/>
      <c r="E30" s="131"/>
      <c r="F30" s="333"/>
      <c r="G30" s="130"/>
      <c r="H30" s="131"/>
      <c r="I30" s="130"/>
      <c r="J30" s="333"/>
      <c r="K30" s="130"/>
      <c r="L30" s="131"/>
      <c r="M30" s="130"/>
      <c r="N30" s="137">
        <f>SUM(D30:M30)</f>
        <v>0</v>
      </c>
      <c r="O30" s="338" t="s">
        <v>88</v>
      </c>
      <c r="P30" s="336">
        <f>SUM(P23:P29)</f>
        <v>24</v>
      </c>
      <c r="Q30" s="527"/>
    </row>
    <row r="31" spans="1:17" s="320" customFormat="1" ht="15.75" customHeight="1" thickBot="1" x14ac:dyDescent="0.25">
      <c r="A31" s="530">
        <v>4</v>
      </c>
      <c r="B31" s="319" t="s">
        <v>90</v>
      </c>
      <c r="C31" s="394" t="s">
        <v>216</v>
      </c>
      <c r="D31" s="134">
        <v>4</v>
      </c>
      <c r="E31" s="134"/>
      <c r="F31" s="332">
        <v>4</v>
      </c>
      <c r="G31" s="135"/>
      <c r="H31" s="134">
        <v>4</v>
      </c>
      <c r="I31" s="135"/>
      <c r="J31" s="332">
        <v>4</v>
      </c>
      <c r="K31" s="135"/>
      <c r="L31" s="134">
        <v>4</v>
      </c>
      <c r="M31" s="135"/>
      <c r="N31" s="136">
        <f>SUM(D31:M31)</f>
        <v>20</v>
      </c>
      <c r="O31" s="331" t="s">
        <v>510</v>
      </c>
      <c r="P31" s="525">
        <f>+SUM(N31:N38)-P36-P37</f>
        <v>25</v>
      </c>
      <c r="Q31" s="527">
        <f>P38</f>
        <v>25</v>
      </c>
    </row>
    <row r="32" spans="1:17" s="320" customFormat="1" ht="15.75" customHeight="1" thickBot="1" x14ac:dyDescent="0.25">
      <c r="A32" s="531"/>
      <c r="B32" s="533" t="s">
        <v>509</v>
      </c>
      <c r="C32" s="534"/>
      <c r="D32" s="131"/>
      <c r="E32" s="131"/>
      <c r="F32" s="333"/>
      <c r="G32" s="130"/>
      <c r="H32" s="131">
        <v>3</v>
      </c>
      <c r="I32" s="130"/>
      <c r="J32" s="333"/>
      <c r="K32" s="130"/>
      <c r="L32" s="131"/>
      <c r="M32" s="130"/>
      <c r="N32" s="137">
        <f t="shared" ref="N32:N37" si="4">SUM(D32:L32)</f>
        <v>3</v>
      </c>
      <c r="O32" s="331" t="s">
        <v>511</v>
      </c>
      <c r="P32" s="526"/>
      <c r="Q32" s="527"/>
    </row>
    <row r="33" spans="1:17" s="320" customFormat="1" ht="15.75" customHeight="1" thickBot="1" x14ac:dyDescent="0.25">
      <c r="A33" s="531"/>
      <c r="B33" s="282" t="s">
        <v>46</v>
      </c>
      <c r="C33"/>
      <c r="D33" s="131"/>
      <c r="E33" s="131"/>
      <c r="F33" s="333"/>
      <c r="G33" s="130"/>
      <c r="H33" s="131">
        <v>2</v>
      </c>
      <c r="I33" s="130"/>
      <c r="J33" s="333"/>
      <c r="K33" s="130"/>
      <c r="L33" s="131"/>
      <c r="M33" s="130"/>
      <c r="N33" s="137">
        <f t="shared" si="4"/>
        <v>2</v>
      </c>
      <c r="O33" s="331" t="s">
        <v>506</v>
      </c>
      <c r="P33" s="526"/>
      <c r="Q33" s="527"/>
    </row>
    <row r="34" spans="1:17" s="320" customFormat="1" ht="15.75" customHeight="1" thickBot="1" x14ac:dyDescent="0.25">
      <c r="A34" s="531"/>
      <c r="B34" s="282" t="s">
        <v>84</v>
      </c>
      <c r="C34" s="383" t="s">
        <v>298</v>
      </c>
      <c r="D34" s="131"/>
      <c r="E34" s="131"/>
      <c r="F34" s="333"/>
      <c r="G34" s="130"/>
      <c r="H34" s="131"/>
      <c r="I34" s="130"/>
      <c r="J34" s="333"/>
      <c r="K34" s="130"/>
      <c r="L34" s="131"/>
      <c r="M34" s="130"/>
      <c r="N34" s="137">
        <f t="shared" si="4"/>
        <v>0</v>
      </c>
      <c r="O34" s="331"/>
      <c r="P34" s="526"/>
      <c r="Q34" s="527"/>
    </row>
    <row r="35" spans="1:17" s="320" customFormat="1" ht="15.75" customHeight="1" thickBot="1" x14ac:dyDescent="0.25">
      <c r="A35" s="531"/>
      <c r="B35" s="282" t="s">
        <v>89</v>
      </c>
      <c r="C35" s="284"/>
      <c r="D35" s="131"/>
      <c r="E35" s="131"/>
      <c r="F35" s="333"/>
      <c r="G35" s="130"/>
      <c r="H35" s="131"/>
      <c r="I35" s="130"/>
      <c r="J35" s="333"/>
      <c r="K35" s="130"/>
      <c r="L35" s="131"/>
      <c r="M35" s="130"/>
      <c r="N35" s="137">
        <f t="shared" si="4"/>
        <v>0</v>
      </c>
      <c r="O35" s="331"/>
      <c r="P35" s="526"/>
      <c r="Q35" s="527"/>
    </row>
    <row r="36" spans="1:17" s="320" customFormat="1" ht="15.75" customHeight="1" thickBot="1" x14ac:dyDescent="0.25">
      <c r="A36" s="531"/>
      <c r="B36" s="282" t="s">
        <v>85</v>
      </c>
      <c r="C36" s="368" t="s">
        <v>101</v>
      </c>
      <c r="D36" s="131"/>
      <c r="E36" s="131"/>
      <c r="F36" s="333"/>
      <c r="G36" s="130"/>
      <c r="H36" s="131"/>
      <c r="I36" s="130"/>
      <c r="J36" s="333"/>
      <c r="K36" s="130"/>
      <c r="L36" s="131"/>
      <c r="M36" s="130"/>
      <c r="N36" s="137">
        <f t="shared" si="4"/>
        <v>0</v>
      </c>
      <c r="O36" s="331"/>
      <c r="P36" s="105"/>
      <c r="Q36" s="527"/>
    </row>
    <row r="37" spans="1:17" s="320" customFormat="1" ht="15.75" customHeight="1" thickBot="1" x14ac:dyDescent="0.25">
      <c r="A37" s="531"/>
      <c r="B37" s="282" t="s">
        <v>86</v>
      </c>
      <c r="C37" s="321"/>
      <c r="D37" s="131"/>
      <c r="E37" s="131"/>
      <c r="F37" s="333"/>
      <c r="G37" s="130"/>
      <c r="H37" s="131"/>
      <c r="I37" s="130"/>
      <c r="J37" s="333"/>
      <c r="K37" s="130"/>
      <c r="L37" s="131"/>
      <c r="M37" s="130"/>
      <c r="N37" s="137">
        <f t="shared" si="4"/>
        <v>0</v>
      </c>
      <c r="O37" s="331"/>
      <c r="P37" s="335"/>
      <c r="Q37" s="527"/>
    </row>
    <row r="38" spans="1:17" s="320" customFormat="1" ht="15.75" customHeight="1" thickBot="1" x14ac:dyDescent="0.25">
      <c r="A38" s="532"/>
      <c r="B38" s="285" t="s">
        <v>87</v>
      </c>
      <c r="C38" s="322" t="s">
        <v>102</v>
      </c>
      <c r="D38" s="131"/>
      <c r="E38" s="131"/>
      <c r="F38" s="333"/>
      <c r="G38" s="130"/>
      <c r="H38" s="131"/>
      <c r="I38" s="130"/>
      <c r="J38" s="333"/>
      <c r="K38" s="130"/>
      <c r="L38" s="131"/>
      <c r="M38" s="130"/>
      <c r="N38" s="138">
        <f>SUM(D38:M38)</f>
        <v>0</v>
      </c>
      <c r="O38" s="338" t="s">
        <v>88</v>
      </c>
      <c r="P38" s="336">
        <f>SUM(P31:P37)</f>
        <v>25</v>
      </c>
      <c r="Q38" s="527"/>
    </row>
    <row r="39" spans="1:17" s="320" customFormat="1" ht="15.75" customHeight="1" thickBot="1" x14ac:dyDescent="0.25">
      <c r="A39" s="530">
        <v>5</v>
      </c>
      <c r="B39" s="319" t="s">
        <v>90</v>
      </c>
      <c r="C39" s="394" t="s">
        <v>210</v>
      </c>
      <c r="D39" s="134">
        <v>4</v>
      </c>
      <c r="E39" s="134"/>
      <c r="F39" s="332">
        <v>4</v>
      </c>
      <c r="G39" s="135"/>
      <c r="H39" s="134">
        <v>4</v>
      </c>
      <c r="I39" s="135"/>
      <c r="J39" s="332">
        <v>4</v>
      </c>
      <c r="K39" s="135"/>
      <c r="L39" s="134">
        <v>4</v>
      </c>
      <c r="M39" s="135"/>
      <c r="N39" s="137">
        <f>SUM(D39:M39)</f>
        <v>20</v>
      </c>
      <c r="O39" s="331" t="s">
        <v>512</v>
      </c>
      <c r="P39" s="525">
        <f>+SUM(N39:N46)-P44-P45</f>
        <v>26</v>
      </c>
      <c r="Q39" s="527">
        <f>P46</f>
        <v>26</v>
      </c>
    </row>
    <row r="40" spans="1:17" s="320" customFormat="1" ht="15.75" customHeight="1" thickBot="1" x14ac:dyDescent="0.25">
      <c r="A40" s="531"/>
      <c r="B40" s="533" t="s">
        <v>513</v>
      </c>
      <c r="C40" s="534"/>
      <c r="D40" s="131"/>
      <c r="E40" s="131"/>
      <c r="F40" s="333"/>
      <c r="G40" s="130"/>
      <c r="H40" s="131">
        <v>3</v>
      </c>
      <c r="I40" s="130"/>
      <c r="J40" s="333">
        <v>3</v>
      </c>
      <c r="K40" s="130"/>
      <c r="L40" s="131"/>
      <c r="M40" s="130"/>
      <c r="N40" s="137">
        <f t="shared" ref="N40:N45" si="5">SUM(D40:L40)</f>
        <v>6</v>
      </c>
      <c r="O40" s="331" t="s">
        <v>505</v>
      </c>
      <c r="P40" s="526"/>
      <c r="Q40" s="527"/>
    </row>
    <row r="41" spans="1:17" s="320" customFormat="1" ht="15.75" customHeight="1" thickBot="1" x14ac:dyDescent="0.25">
      <c r="A41" s="531"/>
      <c r="B41" s="282" t="s">
        <v>46</v>
      </c>
      <c r="C41" s="283"/>
      <c r="D41" s="131"/>
      <c r="E41" s="131"/>
      <c r="F41" s="333"/>
      <c r="G41" s="130"/>
      <c r="H41" s="131"/>
      <c r="I41" s="130"/>
      <c r="J41" s="333"/>
      <c r="K41" s="130"/>
      <c r="L41" s="131"/>
      <c r="M41" s="130"/>
      <c r="N41" s="137">
        <f t="shared" si="5"/>
        <v>0</v>
      </c>
      <c r="O41" s="331"/>
      <c r="P41" s="526"/>
      <c r="Q41" s="527"/>
    </row>
    <row r="42" spans="1:17" s="320" customFormat="1" ht="15.75" customHeight="1" thickBot="1" x14ac:dyDescent="0.25">
      <c r="A42" s="531"/>
      <c r="B42" s="282" t="s">
        <v>84</v>
      </c>
      <c r="C42" s="299" t="s">
        <v>479</v>
      </c>
      <c r="D42" s="131"/>
      <c r="E42" s="131"/>
      <c r="F42" s="333"/>
      <c r="G42" s="130"/>
      <c r="H42" s="131"/>
      <c r="I42" s="130"/>
      <c r="J42" s="333"/>
      <c r="K42" s="130"/>
      <c r="L42" s="131"/>
      <c r="M42" s="130"/>
      <c r="N42" s="137">
        <f t="shared" si="5"/>
        <v>0</v>
      </c>
      <c r="O42" s="331"/>
      <c r="P42" s="526"/>
      <c r="Q42" s="527"/>
    </row>
    <row r="43" spans="1:17" s="320" customFormat="1" ht="15.75" customHeight="1" thickBot="1" x14ac:dyDescent="0.25">
      <c r="A43" s="531"/>
      <c r="B43" s="282" t="s">
        <v>89</v>
      </c>
      <c r="C43" s="284"/>
      <c r="D43" s="131"/>
      <c r="E43" s="131"/>
      <c r="F43" s="333"/>
      <c r="G43" s="130"/>
      <c r="H43" s="131"/>
      <c r="I43" s="130"/>
      <c r="J43" s="333"/>
      <c r="K43" s="130"/>
      <c r="L43" s="131"/>
      <c r="M43" s="130"/>
      <c r="N43" s="137">
        <f t="shared" si="5"/>
        <v>0</v>
      </c>
      <c r="O43" s="331"/>
      <c r="P43" s="526"/>
      <c r="Q43" s="527"/>
    </row>
    <row r="44" spans="1:17" s="320" customFormat="1" ht="15.75" customHeight="1" thickBot="1" x14ac:dyDescent="0.25">
      <c r="A44" s="531"/>
      <c r="B44" s="282" t="s">
        <v>85</v>
      </c>
      <c r="C44" s="368" t="s">
        <v>101</v>
      </c>
      <c r="D44" s="131"/>
      <c r="E44" s="131"/>
      <c r="F44" s="333"/>
      <c r="G44" s="130"/>
      <c r="H44" s="131"/>
      <c r="I44" s="130"/>
      <c r="J44" s="333"/>
      <c r="K44" s="130"/>
      <c r="L44" s="131"/>
      <c r="M44" s="130"/>
      <c r="N44" s="137">
        <f t="shared" si="5"/>
        <v>0</v>
      </c>
      <c r="O44" s="331"/>
      <c r="P44" s="105"/>
      <c r="Q44" s="527"/>
    </row>
    <row r="45" spans="1:17" s="320" customFormat="1" ht="15.75" customHeight="1" thickBot="1" x14ac:dyDescent="0.25">
      <c r="A45" s="531"/>
      <c r="B45" s="282" t="s">
        <v>86</v>
      </c>
      <c r="C45" s="321"/>
      <c r="D45" s="131"/>
      <c r="E45" s="131"/>
      <c r="F45" s="333"/>
      <c r="G45" s="130"/>
      <c r="H45" s="131"/>
      <c r="I45" s="130"/>
      <c r="J45" s="333"/>
      <c r="K45" s="130"/>
      <c r="L45" s="131"/>
      <c r="M45" s="130"/>
      <c r="N45" s="137">
        <f t="shared" si="5"/>
        <v>0</v>
      </c>
      <c r="O45" s="331"/>
      <c r="P45" s="335"/>
      <c r="Q45" s="527"/>
    </row>
    <row r="46" spans="1:17" s="320" customFormat="1" ht="15.75" customHeight="1" thickBot="1" x14ac:dyDescent="0.25">
      <c r="A46" s="532"/>
      <c r="B46" s="285" t="s">
        <v>87</v>
      </c>
      <c r="C46" s="322" t="s">
        <v>102</v>
      </c>
      <c r="D46" s="131"/>
      <c r="E46" s="131"/>
      <c r="F46" s="333"/>
      <c r="G46" s="130"/>
      <c r="H46" s="131"/>
      <c r="I46" s="130"/>
      <c r="J46" s="333"/>
      <c r="K46" s="130"/>
      <c r="L46" s="131"/>
      <c r="M46" s="130"/>
      <c r="N46" s="137">
        <f>SUM(D46:M46)</f>
        <v>0</v>
      </c>
      <c r="O46" s="338" t="s">
        <v>88</v>
      </c>
      <c r="P46" s="336">
        <f>SUM(P39:P45)</f>
        <v>26</v>
      </c>
      <c r="Q46" s="527"/>
    </row>
    <row r="47" spans="1:17" s="320" customFormat="1" ht="15.75" customHeight="1" thickBot="1" x14ac:dyDescent="0.25">
      <c r="A47" s="530">
        <v>6</v>
      </c>
      <c r="B47" s="319" t="s">
        <v>90</v>
      </c>
      <c r="C47" s="394" t="s">
        <v>205</v>
      </c>
      <c r="D47" s="134">
        <v>3</v>
      </c>
      <c r="E47" s="134"/>
      <c r="F47" s="332">
        <v>2</v>
      </c>
      <c r="G47" s="135"/>
      <c r="H47" s="134">
        <v>3</v>
      </c>
      <c r="I47" s="135"/>
      <c r="J47" s="332">
        <v>2</v>
      </c>
      <c r="K47" s="135"/>
      <c r="L47" s="134">
        <v>3</v>
      </c>
      <c r="M47" s="135"/>
      <c r="N47" s="136">
        <f>SUM(D47:M47)</f>
        <v>13</v>
      </c>
      <c r="O47" s="331" t="s">
        <v>515</v>
      </c>
      <c r="P47" s="525">
        <f>+SUM(N47:N54)-P52-P53</f>
        <v>25</v>
      </c>
      <c r="Q47" s="527">
        <f>P54</f>
        <v>25</v>
      </c>
    </row>
    <row r="48" spans="1:17" s="320" customFormat="1" ht="15.75" customHeight="1" thickBot="1" x14ac:dyDescent="0.25">
      <c r="A48" s="531"/>
      <c r="B48" s="533" t="s">
        <v>514</v>
      </c>
      <c r="C48" s="534"/>
      <c r="D48" s="131">
        <v>3</v>
      </c>
      <c r="E48" s="131"/>
      <c r="F48" s="333">
        <v>3</v>
      </c>
      <c r="G48" s="130"/>
      <c r="H48" s="131"/>
      <c r="I48" s="130"/>
      <c r="J48" s="333">
        <v>3</v>
      </c>
      <c r="K48" s="130"/>
      <c r="L48" s="131">
        <v>3</v>
      </c>
      <c r="M48" s="130"/>
      <c r="N48" s="137">
        <f t="shared" ref="N48:N53" si="6">SUM(D48:L48)</f>
        <v>12</v>
      </c>
      <c r="O48" s="331" t="s">
        <v>511</v>
      </c>
      <c r="P48" s="526"/>
      <c r="Q48" s="527"/>
    </row>
    <row r="49" spans="1:17" s="320" customFormat="1" ht="15.75" customHeight="1" thickBot="1" x14ac:dyDescent="0.25">
      <c r="A49" s="531"/>
      <c r="B49" s="282" t="s">
        <v>46</v>
      </c>
      <c r="C49" s="283"/>
      <c r="D49" s="131"/>
      <c r="E49" s="131"/>
      <c r="F49" s="333"/>
      <c r="G49" s="130"/>
      <c r="H49" s="131"/>
      <c r="I49" s="130"/>
      <c r="J49" s="333"/>
      <c r="K49" s="130"/>
      <c r="L49" s="131"/>
      <c r="M49" s="130"/>
      <c r="N49" s="137">
        <f t="shared" si="6"/>
        <v>0</v>
      </c>
      <c r="O49" s="331"/>
      <c r="P49" s="526"/>
      <c r="Q49" s="527"/>
    </row>
    <row r="50" spans="1:17" s="320" customFormat="1" ht="15.75" customHeight="1" thickBot="1" x14ac:dyDescent="0.25">
      <c r="A50" s="531"/>
      <c r="B50" s="282" t="s">
        <v>84</v>
      </c>
      <c r="C50" s="383" t="s">
        <v>296</v>
      </c>
      <c r="D50" s="131"/>
      <c r="E50" s="131"/>
      <c r="F50" s="333"/>
      <c r="G50" s="130"/>
      <c r="H50" s="131"/>
      <c r="I50" s="130"/>
      <c r="J50" s="333"/>
      <c r="K50" s="130"/>
      <c r="L50" s="131"/>
      <c r="M50" s="130"/>
      <c r="N50" s="137">
        <f t="shared" si="6"/>
        <v>0</v>
      </c>
      <c r="O50" s="331"/>
      <c r="P50" s="526"/>
      <c r="Q50" s="527"/>
    </row>
    <row r="51" spans="1:17" s="320" customFormat="1" ht="15.75" customHeight="1" thickBot="1" x14ac:dyDescent="0.25">
      <c r="A51" s="531"/>
      <c r="B51" s="282" t="s">
        <v>89</v>
      </c>
      <c r="C51" s="284"/>
      <c r="D51" s="131"/>
      <c r="E51" s="131"/>
      <c r="F51" s="333"/>
      <c r="G51" s="130"/>
      <c r="H51" s="131"/>
      <c r="I51" s="130"/>
      <c r="J51" s="333"/>
      <c r="K51" s="130"/>
      <c r="L51" s="131"/>
      <c r="M51" s="130"/>
      <c r="N51" s="137">
        <f t="shared" si="6"/>
        <v>0</v>
      </c>
      <c r="O51" s="331"/>
      <c r="P51" s="526"/>
      <c r="Q51" s="527"/>
    </row>
    <row r="52" spans="1:17" s="320" customFormat="1" ht="15.75" customHeight="1" thickBot="1" x14ac:dyDescent="0.25">
      <c r="A52" s="531"/>
      <c r="B52" s="282" t="s">
        <v>85</v>
      </c>
      <c r="C52" s="368" t="s">
        <v>101</v>
      </c>
      <c r="D52" s="131"/>
      <c r="E52" s="131"/>
      <c r="F52" s="333"/>
      <c r="G52" s="130"/>
      <c r="H52" s="131"/>
      <c r="I52" s="130"/>
      <c r="J52" s="333"/>
      <c r="K52" s="130"/>
      <c r="L52" s="131"/>
      <c r="M52" s="130"/>
      <c r="N52" s="137">
        <f t="shared" si="6"/>
        <v>0</v>
      </c>
      <c r="O52" s="331"/>
      <c r="P52" s="105"/>
      <c r="Q52" s="527"/>
    </row>
    <row r="53" spans="1:17" s="320" customFormat="1" ht="15.75" customHeight="1" thickBot="1" x14ac:dyDescent="0.25">
      <c r="A53" s="531"/>
      <c r="B53" s="282" t="s">
        <v>86</v>
      </c>
      <c r="C53" s="321"/>
      <c r="D53" s="131"/>
      <c r="E53" s="131"/>
      <c r="F53" s="333"/>
      <c r="G53" s="130"/>
      <c r="H53" s="131"/>
      <c r="I53" s="130"/>
      <c r="J53" s="333"/>
      <c r="K53" s="130"/>
      <c r="L53" s="131"/>
      <c r="M53" s="130"/>
      <c r="N53" s="137">
        <f t="shared" si="6"/>
        <v>0</v>
      </c>
      <c r="O53" s="331"/>
      <c r="P53" s="335"/>
      <c r="Q53" s="527"/>
    </row>
    <row r="54" spans="1:17" s="320" customFormat="1" ht="15.75" customHeight="1" thickBot="1" x14ac:dyDescent="0.25">
      <c r="A54" s="532"/>
      <c r="B54" s="285" t="s">
        <v>87</v>
      </c>
      <c r="C54" s="322" t="s">
        <v>102</v>
      </c>
      <c r="D54" s="132"/>
      <c r="E54" s="132"/>
      <c r="F54" s="334"/>
      <c r="G54" s="133"/>
      <c r="H54" s="132"/>
      <c r="I54" s="133"/>
      <c r="J54" s="334"/>
      <c r="K54" s="133"/>
      <c r="L54" s="132"/>
      <c r="M54" s="133"/>
      <c r="N54" s="138">
        <f>SUM(D54:M54)</f>
        <v>0</v>
      </c>
      <c r="O54" s="338" t="s">
        <v>88</v>
      </c>
      <c r="P54" s="336">
        <f>SUM(P47:P53)</f>
        <v>25</v>
      </c>
      <c r="Q54" s="527"/>
    </row>
    <row r="55" spans="1:17" s="320" customFormat="1" ht="15.75" customHeight="1" thickBot="1" x14ac:dyDescent="0.25">
      <c r="A55" s="530">
        <v>7</v>
      </c>
      <c r="B55" s="319" t="s">
        <v>90</v>
      </c>
      <c r="C55" s="394" t="s">
        <v>214</v>
      </c>
      <c r="D55" s="131">
        <v>2</v>
      </c>
      <c r="E55" s="131"/>
      <c r="F55" s="333">
        <v>2</v>
      </c>
      <c r="G55" s="130"/>
      <c r="H55" s="131">
        <v>2</v>
      </c>
      <c r="I55" s="130"/>
      <c r="J55" s="333">
        <v>2</v>
      </c>
      <c r="K55" s="130"/>
      <c r="L55" s="131">
        <v>2</v>
      </c>
      <c r="M55" s="130"/>
      <c r="N55" s="137">
        <f>SUM(D55:M55)</f>
        <v>10</v>
      </c>
      <c r="O55" s="331" t="s">
        <v>516</v>
      </c>
      <c r="P55" s="525">
        <f>+SUM(N55:N62)-P60-P61</f>
        <v>24</v>
      </c>
      <c r="Q55" s="527">
        <f>P62</f>
        <v>24</v>
      </c>
    </row>
    <row r="56" spans="1:17" s="320" customFormat="1" ht="15.75" customHeight="1" thickBot="1" x14ac:dyDescent="0.25">
      <c r="A56" s="531"/>
      <c r="B56" s="533"/>
      <c r="C56" s="534"/>
      <c r="D56" s="131">
        <v>2</v>
      </c>
      <c r="E56" s="131"/>
      <c r="F56" s="333">
        <v>2</v>
      </c>
      <c r="G56" s="130"/>
      <c r="H56" s="131">
        <v>2</v>
      </c>
      <c r="I56" s="130"/>
      <c r="J56" s="333">
        <v>2</v>
      </c>
      <c r="K56" s="130"/>
      <c r="L56" s="131">
        <v>2</v>
      </c>
      <c r="M56" s="130"/>
      <c r="N56" s="137">
        <f t="shared" ref="N56:N61" si="7">SUM(D56:L56)</f>
        <v>10</v>
      </c>
      <c r="O56" s="331" t="s">
        <v>41</v>
      </c>
      <c r="P56" s="526"/>
      <c r="Q56" s="527"/>
    </row>
    <row r="57" spans="1:17" s="320" customFormat="1" ht="15.75" customHeight="1" thickBot="1" x14ac:dyDescent="0.25">
      <c r="A57" s="531"/>
      <c r="B57" s="282" t="s">
        <v>46</v>
      </c>
      <c r="C57" s="283"/>
      <c r="D57" s="131"/>
      <c r="E57" s="131"/>
      <c r="F57" s="333">
        <v>2</v>
      </c>
      <c r="G57" s="130"/>
      <c r="H57" s="131"/>
      <c r="I57" s="130"/>
      <c r="J57" s="333">
        <v>2</v>
      </c>
      <c r="K57" s="130"/>
      <c r="L57" s="131"/>
      <c r="M57" s="130"/>
      <c r="N57" s="137">
        <f t="shared" si="7"/>
        <v>4</v>
      </c>
      <c r="O57" s="331" t="s">
        <v>506</v>
      </c>
      <c r="P57" s="526"/>
      <c r="Q57" s="527"/>
    </row>
    <row r="58" spans="1:17" s="320" customFormat="1" ht="15.75" customHeight="1" thickBot="1" x14ac:dyDescent="0.25">
      <c r="A58" s="531"/>
      <c r="B58" s="282" t="s">
        <v>84</v>
      </c>
      <c r="C58" s="384"/>
      <c r="D58" s="131"/>
      <c r="E58" s="131"/>
      <c r="F58" s="333"/>
      <c r="G58" s="130"/>
      <c r="H58" s="131"/>
      <c r="I58" s="130"/>
      <c r="J58" s="333"/>
      <c r="K58" s="130"/>
      <c r="L58" s="131"/>
      <c r="M58" s="130"/>
      <c r="N58" s="137">
        <f t="shared" si="7"/>
        <v>0</v>
      </c>
      <c r="O58" s="331"/>
      <c r="P58" s="526"/>
      <c r="Q58" s="527"/>
    </row>
    <row r="59" spans="1:17" s="320" customFormat="1" ht="15.75" customHeight="1" thickBot="1" x14ac:dyDescent="0.25">
      <c r="A59" s="531"/>
      <c r="B59" s="282" t="s">
        <v>89</v>
      </c>
      <c r="C59" s="284"/>
      <c r="D59" s="131"/>
      <c r="E59" s="131"/>
      <c r="F59" s="333"/>
      <c r="G59" s="130"/>
      <c r="H59" s="131"/>
      <c r="I59" s="130"/>
      <c r="J59" s="333"/>
      <c r="K59" s="130"/>
      <c r="L59" s="131"/>
      <c r="M59" s="130"/>
      <c r="N59" s="137">
        <f t="shared" si="7"/>
        <v>0</v>
      </c>
      <c r="O59" s="331"/>
      <c r="P59" s="526"/>
      <c r="Q59" s="527"/>
    </row>
    <row r="60" spans="1:17" s="320" customFormat="1" ht="15.75" customHeight="1" thickBot="1" x14ac:dyDescent="0.25">
      <c r="A60" s="531"/>
      <c r="B60" s="282" t="s">
        <v>85</v>
      </c>
      <c r="C60" s="368" t="s">
        <v>101</v>
      </c>
      <c r="D60" s="131"/>
      <c r="E60" s="131"/>
      <c r="F60" s="333"/>
      <c r="G60" s="130"/>
      <c r="H60" s="131"/>
      <c r="I60" s="130"/>
      <c r="J60" s="333"/>
      <c r="K60" s="130"/>
      <c r="L60" s="131"/>
      <c r="M60" s="130"/>
      <c r="N60" s="137">
        <f t="shared" si="7"/>
        <v>0</v>
      </c>
      <c r="O60" s="331"/>
      <c r="P60" s="105"/>
      <c r="Q60" s="527"/>
    </row>
    <row r="61" spans="1:17" s="320" customFormat="1" ht="15.75" customHeight="1" thickBot="1" x14ac:dyDescent="0.25">
      <c r="A61" s="531"/>
      <c r="B61" s="282" t="s">
        <v>86</v>
      </c>
      <c r="C61" s="321"/>
      <c r="D61" s="131"/>
      <c r="E61" s="131"/>
      <c r="F61" s="333"/>
      <c r="G61" s="130"/>
      <c r="H61" s="131"/>
      <c r="I61" s="130"/>
      <c r="J61" s="333"/>
      <c r="K61" s="130"/>
      <c r="L61" s="131"/>
      <c r="M61" s="130"/>
      <c r="N61" s="137">
        <f t="shared" si="7"/>
        <v>0</v>
      </c>
      <c r="O61" s="331"/>
      <c r="P61" s="335"/>
      <c r="Q61" s="527"/>
    </row>
    <row r="62" spans="1:17" s="320" customFormat="1" ht="15.75" customHeight="1" thickBot="1" x14ac:dyDescent="0.25">
      <c r="A62" s="532"/>
      <c r="B62" s="285" t="s">
        <v>87</v>
      </c>
      <c r="C62" s="322"/>
      <c r="D62" s="132"/>
      <c r="E62" s="132"/>
      <c r="F62" s="334"/>
      <c r="G62" s="133"/>
      <c r="H62" s="132"/>
      <c r="I62" s="133"/>
      <c r="J62" s="334"/>
      <c r="K62" s="133"/>
      <c r="L62" s="132"/>
      <c r="M62" s="133"/>
      <c r="N62" s="138">
        <f>SUM(D62:M62)</f>
        <v>0</v>
      </c>
      <c r="O62" s="338" t="s">
        <v>88</v>
      </c>
      <c r="P62" s="337">
        <f>SUM(P55:P61)</f>
        <v>24</v>
      </c>
      <c r="Q62" s="527"/>
    </row>
    <row r="63" spans="1:17" s="320" customFormat="1" ht="15.75" customHeight="1" thickBot="1" x14ac:dyDescent="0.25">
      <c r="A63" s="530">
        <v>8</v>
      </c>
      <c r="B63" s="319" t="s">
        <v>90</v>
      </c>
      <c r="C63" s="392" t="s">
        <v>493</v>
      </c>
      <c r="D63" s="131">
        <v>3</v>
      </c>
      <c r="E63" s="131"/>
      <c r="F63" s="333">
        <v>3</v>
      </c>
      <c r="G63" s="130"/>
      <c r="H63" s="131">
        <v>3</v>
      </c>
      <c r="I63" s="130"/>
      <c r="J63" s="333">
        <v>3</v>
      </c>
      <c r="K63" s="130"/>
      <c r="L63" s="131">
        <v>3</v>
      </c>
      <c r="M63" s="130"/>
      <c r="N63" s="137">
        <f>SUM(D63:M63)</f>
        <v>15</v>
      </c>
      <c r="O63" s="331" t="s">
        <v>518</v>
      </c>
      <c r="P63" s="525">
        <f>+SUM(N63:N70)-P68-P69</f>
        <v>25</v>
      </c>
      <c r="Q63" s="527">
        <f>P70</f>
        <v>25</v>
      </c>
    </row>
    <row r="64" spans="1:17" s="320" customFormat="1" ht="15.75" customHeight="1" thickBot="1" x14ac:dyDescent="0.25">
      <c r="A64" s="531"/>
      <c r="B64" s="533"/>
      <c r="C64" s="534"/>
      <c r="D64" s="131">
        <v>2</v>
      </c>
      <c r="E64" s="131"/>
      <c r="F64" s="333">
        <v>2</v>
      </c>
      <c r="G64" s="130"/>
      <c r="H64" s="131">
        <v>2</v>
      </c>
      <c r="I64" s="130"/>
      <c r="J64" s="333">
        <v>2</v>
      </c>
      <c r="K64" s="130"/>
      <c r="L64" s="131">
        <v>2</v>
      </c>
      <c r="M64" s="130"/>
      <c r="N64" s="137">
        <f t="shared" ref="N64:N69" si="8">SUM(D64:L64)</f>
        <v>10</v>
      </c>
      <c r="O64" s="331" t="s">
        <v>519</v>
      </c>
      <c r="P64" s="526"/>
      <c r="Q64" s="527"/>
    </row>
    <row r="65" spans="1:17" s="320" customFormat="1" ht="15.75" customHeight="1" thickBot="1" x14ac:dyDescent="0.25">
      <c r="A65" s="531"/>
      <c r="B65" s="282" t="s">
        <v>46</v>
      </c>
      <c r="C65" s="283"/>
      <c r="D65" s="131"/>
      <c r="E65" s="131"/>
      <c r="F65" s="333"/>
      <c r="G65" s="130"/>
      <c r="H65" s="131"/>
      <c r="I65" s="130"/>
      <c r="J65" s="333"/>
      <c r="K65" s="130"/>
      <c r="L65" s="131"/>
      <c r="M65" s="130"/>
      <c r="N65" s="137">
        <f t="shared" si="8"/>
        <v>0</v>
      </c>
      <c r="O65" s="331"/>
      <c r="P65" s="526"/>
      <c r="Q65" s="527"/>
    </row>
    <row r="66" spans="1:17" s="320" customFormat="1" ht="15.75" customHeight="1" thickBot="1" x14ac:dyDescent="0.25">
      <c r="A66" s="531"/>
      <c r="B66" s="282" t="s">
        <v>84</v>
      </c>
      <c r="C66" s="386" t="s">
        <v>517</v>
      </c>
      <c r="D66" s="131"/>
      <c r="E66" s="131"/>
      <c r="F66" s="333"/>
      <c r="G66" s="130"/>
      <c r="H66" s="131"/>
      <c r="I66" s="130"/>
      <c r="J66" s="333"/>
      <c r="K66" s="130"/>
      <c r="L66" s="131"/>
      <c r="M66" s="130"/>
      <c r="N66" s="137">
        <f t="shared" si="8"/>
        <v>0</v>
      </c>
      <c r="O66" s="331"/>
      <c r="P66" s="526"/>
      <c r="Q66" s="527"/>
    </row>
    <row r="67" spans="1:17" s="320" customFormat="1" ht="15.75" customHeight="1" thickBot="1" x14ac:dyDescent="0.25">
      <c r="A67" s="531"/>
      <c r="B67" s="282" t="s">
        <v>89</v>
      </c>
      <c r="C67" s="284"/>
      <c r="D67" s="131"/>
      <c r="E67" s="131"/>
      <c r="F67" s="333"/>
      <c r="G67" s="130"/>
      <c r="H67" s="131"/>
      <c r="I67" s="130"/>
      <c r="J67" s="333"/>
      <c r="K67" s="130"/>
      <c r="L67" s="131"/>
      <c r="M67" s="130"/>
      <c r="N67" s="137">
        <f t="shared" si="8"/>
        <v>0</v>
      </c>
      <c r="O67" s="331"/>
      <c r="P67" s="526"/>
      <c r="Q67" s="527"/>
    </row>
    <row r="68" spans="1:17" s="320" customFormat="1" ht="15.75" customHeight="1" thickBot="1" x14ac:dyDescent="0.25">
      <c r="A68" s="531"/>
      <c r="B68" s="282" t="s">
        <v>85</v>
      </c>
      <c r="C68" s="368" t="s">
        <v>101</v>
      </c>
      <c r="D68" s="131"/>
      <c r="E68" s="131"/>
      <c r="F68" s="333"/>
      <c r="G68" s="130"/>
      <c r="H68" s="131"/>
      <c r="I68" s="130"/>
      <c r="J68" s="333"/>
      <c r="K68" s="130"/>
      <c r="L68" s="131"/>
      <c r="M68" s="130"/>
      <c r="N68" s="137">
        <f t="shared" si="8"/>
        <v>0</v>
      </c>
      <c r="O68" s="331"/>
      <c r="P68" s="105"/>
      <c r="Q68" s="527"/>
    </row>
    <row r="69" spans="1:17" s="320" customFormat="1" ht="15.75" customHeight="1" thickBot="1" x14ac:dyDescent="0.25">
      <c r="A69" s="531"/>
      <c r="B69" s="282" t="s">
        <v>86</v>
      </c>
      <c r="C69" s="321"/>
      <c r="D69" s="131"/>
      <c r="E69" s="131"/>
      <c r="F69" s="333"/>
      <c r="G69" s="130"/>
      <c r="H69" s="131"/>
      <c r="I69" s="130"/>
      <c r="J69" s="333"/>
      <c r="K69" s="130"/>
      <c r="L69" s="131"/>
      <c r="M69" s="130"/>
      <c r="N69" s="137">
        <f t="shared" si="8"/>
        <v>0</v>
      </c>
      <c r="O69" s="331"/>
      <c r="P69" s="335"/>
      <c r="Q69" s="527"/>
    </row>
    <row r="70" spans="1:17" s="320" customFormat="1" ht="15.75" customHeight="1" thickBot="1" x14ac:dyDescent="0.25">
      <c r="A70" s="532"/>
      <c r="B70" s="285" t="s">
        <v>87</v>
      </c>
      <c r="C70" s="322"/>
      <c r="D70" s="132"/>
      <c r="E70" s="132"/>
      <c r="F70" s="334"/>
      <c r="G70" s="133"/>
      <c r="H70" s="132"/>
      <c r="I70" s="133"/>
      <c r="J70" s="334"/>
      <c r="K70" s="133"/>
      <c r="L70" s="132"/>
      <c r="M70" s="133"/>
      <c r="N70" s="138">
        <f>SUM(D70:M70)</f>
        <v>0</v>
      </c>
      <c r="O70" s="338" t="s">
        <v>88</v>
      </c>
      <c r="P70" s="337">
        <f>SUM(P63:P69)</f>
        <v>25</v>
      </c>
      <c r="Q70" s="527"/>
    </row>
    <row r="71" spans="1:17" s="320" customFormat="1" ht="15.75" customHeight="1" thickBot="1" x14ac:dyDescent="0.25">
      <c r="A71" s="530">
        <v>9</v>
      </c>
      <c r="B71" s="319" t="s">
        <v>90</v>
      </c>
      <c r="C71" s="382"/>
      <c r="D71" s="131"/>
      <c r="E71" s="131"/>
      <c r="F71" s="333"/>
      <c r="G71" s="130"/>
      <c r="H71" s="131"/>
      <c r="I71" s="130"/>
      <c r="J71" s="333"/>
      <c r="K71" s="130"/>
      <c r="L71" s="131"/>
      <c r="M71" s="130"/>
      <c r="N71" s="137">
        <f>SUM(D71:M71)</f>
        <v>0</v>
      </c>
      <c r="O71" s="331"/>
      <c r="P71" s="525">
        <f>+SUM(N71:N78)-P76-P77</f>
        <v>0</v>
      </c>
      <c r="Q71" s="527">
        <f>P78</f>
        <v>0</v>
      </c>
    </row>
    <row r="72" spans="1:17" s="320" customFormat="1" ht="15.75" customHeight="1" thickBot="1" x14ac:dyDescent="0.25">
      <c r="A72" s="531"/>
      <c r="B72" s="533"/>
      <c r="C72" s="534"/>
      <c r="D72" s="131"/>
      <c r="E72" s="131"/>
      <c r="F72" s="333"/>
      <c r="G72" s="130"/>
      <c r="H72" s="131"/>
      <c r="I72" s="130"/>
      <c r="J72" s="333"/>
      <c r="K72" s="130"/>
      <c r="L72" s="131"/>
      <c r="M72" s="130"/>
      <c r="N72" s="137">
        <f t="shared" ref="N72:N77" si="9">SUM(D72:L72)</f>
        <v>0</v>
      </c>
      <c r="O72" s="331"/>
      <c r="P72" s="526"/>
      <c r="Q72" s="527"/>
    </row>
    <row r="73" spans="1:17" s="320" customFormat="1" ht="15.75" customHeight="1" thickBot="1" x14ac:dyDescent="0.25">
      <c r="A73" s="531"/>
      <c r="B73" s="282" t="s">
        <v>46</v>
      </c>
      <c r="C73" s="283"/>
      <c r="D73" s="131"/>
      <c r="E73" s="131"/>
      <c r="F73" s="333"/>
      <c r="G73" s="130"/>
      <c r="H73" s="131"/>
      <c r="I73" s="130"/>
      <c r="J73" s="333"/>
      <c r="K73" s="130"/>
      <c r="L73" s="131"/>
      <c r="M73" s="130"/>
      <c r="N73" s="137">
        <f t="shared" si="9"/>
        <v>0</v>
      </c>
      <c r="O73" s="331"/>
      <c r="P73" s="526"/>
      <c r="Q73" s="527"/>
    </row>
    <row r="74" spans="1:17" s="320" customFormat="1" ht="15.75" customHeight="1" thickBot="1" x14ac:dyDescent="0.25">
      <c r="A74" s="531"/>
      <c r="B74" s="282" t="s">
        <v>84</v>
      </c>
      <c r="C74" s="383"/>
      <c r="D74" s="131"/>
      <c r="E74" s="131"/>
      <c r="F74" s="333"/>
      <c r="G74" s="130"/>
      <c r="H74" s="131"/>
      <c r="I74" s="130"/>
      <c r="J74" s="333"/>
      <c r="K74" s="130"/>
      <c r="L74" s="131"/>
      <c r="M74" s="130"/>
      <c r="N74" s="137">
        <f t="shared" si="9"/>
        <v>0</v>
      </c>
      <c r="O74" s="331"/>
      <c r="P74" s="526"/>
      <c r="Q74" s="527"/>
    </row>
    <row r="75" spans="1:17" s="320" customFormat="1" ht="15.75" customHeight="1" thickBot="1" x14ac:dyDescent="0.25">
      <c r="A75" s="531"/>
      <c r="B75" s="282" t="s">
        <v>89</v>
      </c>
      <c r="C75" s="284"/>
      <c r="D75" s="131"/>
      <c r="E75" s="131"/>
      <c r="F75" s="333"/>
      <c r="G75" s="130"/>
      <c r="H75" s="131"/>
      <c r="I75" s="130"/>
      <c r="J75" s="333"/>
      <c r="K75" s="130"/>
      <c r="L75" s="131"/>
      <c r="M75" s="130"/>
      <c r="N75" s="137">
        <f t="shared" si="9"/>
        <v>0</v>
      </c>
      <c r="O75" s="331"/>
      <c r="P75" s="526"/>
      <c r="Q75" s="527"/>
    </row>
    <row r="76" spans="1:17" s="320" customFormat="1" ht="15.75" customHeight="1" thickBot="1" x14ac:dyDescent="0.25">
      <c r="A76" s="531"/>
      <c r="B76" s="282" t="s">
        <v>85</v>
      </c>
      <c r="C76" s="368" t="s">
        <v>101</v>
      </c>
      <c r="D76" s="131"/>
      <c r="E76" s="131"/>
      <c r="F76" s="333"/>
      <c r="G76" s="130"/>
      <c r="H76" s="131"/>
      <c r="I76" s="130"/>
      <c r="J76" s="333"/>
      <c r="K76" s="130"/>
      <c r="L76" s="131"/>
      <c r="M76" s="130"/>
      <c r="N76" s="137">
        <f t="shared" si="9"/>
        <v>0</v>
      </c>
      <c r="O76" s="331"/>
      <c r="P76" s="105"/>
      <c r="Q76" s="527"/>
    </row>
    <row r="77" spans="1:17" s="320" customFormat="1" ht="15.75" customHeight="1" thickBot="1" x14ac:dyDescent="0.25">
      <c r="A77" s="531"/>
      <c r="B77" s="282" t="s">
        <v>86</v>
      </c>
      <c r="C77" s="321"/>
      <c r="D77" s="131"/>
      <c r="E77" s="131"/>
      <c r="F77" s="333"/>
      <c r="G77" s="130"/>
      <c r="H77" s="131"/>
      <c r="I77" s="130"/>
      <c r="J77" s="333"/>
      <c r="K77" s="130"/>
      <c r="L77" s="131"/>
      <c r="M77" s="130"/>
      <c r="N77" s="137">
        <f t="shared" si="9"/>
        <v>0</v>
      </c>
      <c r="O77" s="331"/>
      <c r="P77" s="335"/>
      <c r="Q77" s="527"/>
    </row>
    <row r="78" spans="1:17" s="320" customFormat="1" ht="15.75" customHeight="1" thickBot="1" x14ac:dyDescent="0.25">
      <c r="A78" s="532"/>
      <c r="B78" s="285" t="s">
        <v>87</v>
      </c>
      <c r="C78" s="322"/>
      <c r="D78" s="132"/>
      <c r="E78" s="132"/>
      <c r="F78" s="334"/>
      <c r="G78" s="133"/>
      <c r="H78" s="132"/>
      <c r="I78" s="133"/>
      <c r="J78" s="334"/>
      <c r="K78" s="133"/>
      <c r="L78" s="132"/>
      <c r="M78" s="133"/>
      <c r="N78" s="138">
        <f>SUM(D78:M78)</f>
        <v>0</v>
      </c>
      <c r="O78" s="338" t="s">
        <v>88</v>
      </c>
      <c r="P78" s="337">
        <f>SUM(P71:P77)</f>
        <v>0</v>
      </c>
      <c r="Q78" s="527"/>
    </row>
    <row r="79" spans="1:17" s="320" customFormat="1" ht="15.75" customHeight="1" thickBot="1" x14ac:dyDescent="0.25">
      <c r="A79" s="530">
        <v>10</v>
      </c>
      <c r="B79" s="319" t="s">
        <v>90</v>
      </c>
      <c r="C79" s="392"/>
      <c r="D79" s="131"/>
      <c r="E79" s="131"/>
      <c r="F79" s="333"/>
      <c r="G79" s="130"/>
      <c r="H79" s="131"/>
      <c r="I79" s="130"/>
      <c r="J79" s="333"/>
      <c r="K79" s="130"/>
      <c r="L79" s="131"/>
      <c r="M79" s="130"/>
      <c r="N79" s="137">
        <f>SUM(D79:M79)</f>
        <v>0</v>
      </c>
      <c r="O79" s="331"/>
      <c r="P79" s="525">
        <f>+SUM(N79:N86)-P84-P85</f>
        <v>0</v>
      </c>
      <c r="Q79" s="527">
        <f>P86</f>
        <v>0</v>
      </c>
    </row>
    <row r="80" spans="1:17" s="320" customFormat="1" ht="15.75" customHeight="1" thickBot="1" x14ac:dyDescent="0.25">
      <c r="A80" s="531"/>
      <c r="B80" s="533"/>
      <c r="C80" s="534"/>
      <c r="D80" s="131"/>
      <c r="E80" s="131"/>
      <c r="F80" s="333"/>
      <c r="G80" s="130"/>
      <c r="H80" s="131"/>
      <c r="I80" s="130"/>
      <c r="J80" s="333"/>
      <c r="K80" s="130"/>
      <c r="L80" s="131"/>
      <c r="M80" s="130"/>
      <c r="N80" s="137">
        <f t="shared" ref="N80:N85" si="10">SUM(D80:L80)</f>
        <v>0</v>
      </c>
      <c r="O80" s="331"/>
      <c r="P80" s="526"/>
      <c r="Q80" s="527"/>
    </row>
    <row r="81" spans="1:17" s="320" customFormat="1" ht="15.75" customHeight="1" thickBot="1" x14ac:dyDescent="0.25">
      <c r="A81" s="531"/>
      <c r="B81" s="282" t="s">
        <v>46</v>
      </c>
      <c r="C81" s="283"/>
      <c r="D81" s="131"/>
      <c r="E81" s="131"/>
      <c r="F81" s="333"/>
      <c r="G81" s="130"/>
      <c r="H81" s="131"/>
      <c r="I81" s="130"/>
      <c r="J81" s="333"/>
      <c r="K81" s="130"/>
      <c r="L81" s="131"/>
      <c r="M81" s="130"/>
      <c r="N81" s="137">
        <f t="shared" si="10"/>
        <v>0</v>
      </c>
      <c r="O81" s="331"/>
      <c r="P81" s="526"/>
      <c r="Q81" s="527"/>
    </row>
    <row r="82" spans="1:17" s="320" customFormat="1" ht="15.75" customHeight="1" thickBot="1" x14ac:dyDescent="0.3">
      <c r="A82" s="531"/>
      <c r="B82" s="282" t="s">
        <v>84</v>
      </c>
      <c r="C82" s="385"/>
      <c r="D82" s="131"/>
      <c r="E82" s="131"/>
      <c r="F82" s="333"/>
      <c r="G82" s="130"/>
      <c r="H82" s="131"/>
      <c r="I82" s="130"/>
      <c r="J82" s="333"/>
      <c r="K82" s="130"/>
      <c r="L82" s="131"/>
      <c r="M82" s="130"/>
      <c r="N82" s="137">
        <f t="shared" si="10"/>
        <v>0</v>
      </c>
      <c r="O82" s="331"/>
      <c r="P82" s="526"/>
      <c r="Q82" s="527"/>
    </row>
    <row r="83" spans="1:17" s="320" customFormat="1" ht="15.75" customHeight="1" thickBot="1" x14ac:dyDescent="0.25">
      <c r="A83" s="531"/>
      <c r="B83" s="282" t="s">
        <v>89</v>
      </c>
      <c r="C83" s="284"/>
      <c r="D83" s="131"/>
      <c r="E83" s="131"/>
      <c r="F83" s="333"/>
      <c r="G83" s="130"/>
      <c r="H83" s="131"/>
      <c r="I83" s="130"/>
      <c r="J83" s="333"/>
      <c r="K83" s="130"/>
      <c r="L83" s="131"/>
      <c r="M83" s="130"/>
      <c r="N83" s="137">
        <f t="shared" si="10"/>
        <v>0</v>
      </c>
      <c r="O83" s="331"/>
      <c r="P83" s="526"/>
      <c r="Q83" s="527"/>
    </row>
    <row r="84" spans="1:17" s="320" customFormat="1" ht="15.75" customHeight="1" thickBot="1" x14ac:dyDescent="0.25">
      <c r="A84" s="531"/>
      <c r="B84" s="282" t="s">
        <v>85</v>
      </c>
      <c r="C84" s="368" t="s">
        <v>101</v>
      </c>
      <c r="D84" s="131"/>
      <c r="E84" s="131"/>
      <c r="F84" s="333"/>
      <c r="G84" s="130"/>
      <c r="H84" s="131"/>
      <c r="I84" s="130"/>
      <c r="J84" s="333"/>
      <c r="K84" s="130"/>
      <c r="L84" s="131"/>
      <c r="M84" s="130"/>
      <c r="N84" s="137">
        <f t="shared" si="10"/>
        <v>0</v>
      </c>
      <c r="O84" s="331"/>
      <c r="P84" s="105"/>
      <c r="Q84" s="527"/>
    </row>
    <row r="85" spans="1:17" s="320" customFormat="1" ht="15.75" customHeight="1" thickBot="1" x14ac:dyDescent="0.25">
      <c r="A85" s="531"/>
      <c r="B85" s="282" t="s">
        <v>86</v>
      </c>
      <c r="C85" s="321"/>
      <c r="D85" s="131"/>
      <c r="E85" s="131"/>
      <c r="F85" s="333"/>
      <c r="G85" s="130"/>
      <c r="H85" s="131"/>
      <c r="I85" s="130"/>
      <c r="J85" s="333"/>
      <c r="K85" s="130"/>
      <c r="L85" s="131"/>
      <c r="M85" s="130"/>
      <c r="N85" s="137">
        <f t="shared" si="10"/>
        <v>0</v>
      </c>
      <c r="O85" s="331"/>
      <c r="P85" s="335"/>
      <c r="Q85" s="527"/>
    </row>
    <row r="86" spans="1:17" s="320" customFormat="1" ht="15.75" customHeight="1" thickBot="1" x14ac:dyDescent="0.25">
      <c r="A86" s="532"/>
      <c r="B86" s="285" t="s">
        <v>87</v>
      </c>
      <c r="C86" s="322"/>
      <c r="D86" s="132"/>
      <c r="E86" s="132"/>
      <c r="F86" s="334"/>
      <c r="G86" s="133"/>
      <c r="H86" s="132"/>
      <c r="I86" s="133"/>
      <c r="J86" s="334"/>
      <c r="K86" s="133"/>
      <c r="L86" s="132"/>
      <c r="M86" s="133"/>
      <c r="N86" s="138">
        <f>SUM(D86:M86)</f>
        <v>0</v>
      </c>
      <c r="O86" s="338" t="s">
        <v>88</v>
      </c>
      <c r="P86" s="337">
        <f>SUM(P79:P85)</f>
        <v>0</v>
      </c>
      <c r="Q86" s="527"/>
    </row>
    <row r="87" spans="1:17" s="320" customFormat="1" ht="15.75" customHeight="1" thickBot="1" x14ac:dyDescent="0.25">
      <c r="A87" s="530">
        <v>11</v>
      </c>
      <c r="B87" s="319" t="s">
        <v>90</v>
      </c>
      <c r="C87" s="392" t="s">
        <v>493</v>
      </c>
      <c r="D87" s="131"/>
      <c r="E87" s="131"/>
      <c r="F87" s="333"/>
      <c r="G87" s="130"/>
      <c r="H87" s="131"/>
      <c r="I87" s="130"/>
      <c r="J87" s="333"/>
      <c r="K87" s="130"/>
      <c r="L87" s="131"/>
      <c r="M87" s="130"/>
      <c r="N87" s="137">
        <f>SUM(D87:M87)</f>
        <v>0</v>
      </c>
      <c r="O87" s="331"/>
      <c r="P87" s="525">
        <f>+SUM(N87:N94)-P92-P93</f>
        <v>0</v>
      </c>
      <c r="Q87" s="527">
        <f>P94</f>
        <v>0</v>
      </c>
    </row>
    <row r="88" spans="1:17" s="320" customFormat="1" ht="15.75" customHeight="1" thickBot="1" x14ac:dyDescent="0.25">
      <c r="A88" s="531"/>
      <c r="B88" s="533"/>
      <c r="C88" s="534"/>
      <c r="D88" s="131"/>
      <c r="E88" s="131"/>
      <c r="F88" s="333"/>
      <c r="G88" s="130"/>
      <c r="H88" s="131"/>
      <c r="I88" s="130"/>
      <c r="J88" s="333"/>
      <c r="K88" s="130"/>
      <c r="L88" s="131"/>
      <c r="M88" s="130"/>
      <c r="N88" s="137">
        <f t="shared" ref="N88:N93" si="11">SUM(D88:L88)</f>
        <v>0</v>
      </c>
      <c r="O88" s="331"/>
      <c r="P88" s="526"/>
      <c r="Q88" s="527"/>
    </row>
    <row r="89" spans="1:17" s="320" customFormat="1" ht="15.75" customHeight="1" thickBot="1" x14ac:dyDescent="0.25">
      <c r="A89" s="531"/>
      <c r="B89" s="282" t="s">
        <v>46</v>
      </c>
      <c r="C89" s="283"/>
      <c r="D89" s="131"/>
      <c r="E89" s="131"/>
      <c r="F89" s="333"/>
      <c r="G89" s="130"/>
      <c r="H89" s="131"/>
      <c r="I89" s="130"/>
      <c r="J89" s="333"/>
      <c r="K89" s="130"/>
      <c r="L89" s="131"/>
      <c r="M89" s="130"/>
      <c r="N89" s="137">
        <f t="shared" si="11"/>
        <v>0</v>
      </c>
      <c r="O89" s="331"/>
      <c r="P89" s="526"/>
      <c r="Q89" s="527"/>
    </row>
    <row r="90" spans="1:17" s="320" customFormat="1" ht="15.75" customHeight="1" thickBot="1" x14ac:dyDescent="0.25">
      <c r="A90" s="531"/>
      <c r="B90" s="282" t="s">
        <v>84</v>
      </c>
      <c r="C90" s="383"/>
      <c r="D90" s="131"/>
      <c r="E90" s="131"/>
      <c r="F90" s="333"/>
      <c r="G90" s="130"/>
      <c r="H90" s="131"/>
      <c r="I90" s="130"/>
      <c r="J90" s="333"/>
      <c r="K90" s="130"/>
      <c r="L90" s="131"/>
      <c r="M90" s="130"/>
      <c r="N90" s="137">
        <f t="shared" si="11"/>
        <v>0</v>
      </c>
      <c r="O90" s="331"/>
      <c r="P90" s="526"/>
      <c r="Q90" s="527"/>
    </row>
    <row r="91" spans="1:17" s="320" customFormat="1" ht="15.75" customHeight="1" thickBot="1" x14ac:dyDescent="0.25">
      <c r="A91" s="531"/>
      <c r="B91" s="282" t="s">
        <v>89</v>
      </c>
      <c r="C91" s="284"/>
      <c r="D91" s="131"/>
      <c r="E91" s="131"/>
      <c r="F91" s="333"/>
      <c r="G91" s="130"/>
      <c r="H91" s="131"/>
      <c r="I91" s="130"/>
      <c r="J91" s="333"/>
      <c r="K91" s="130"/>
      <c r="L91" s="131"/>
      <c r="M91" s="130"/>
      <c r="N91" s="137">
        <f t="shared" si="11"/>
        <v>0</v>
      </c>
      <c r="O91" s="331"/>
      <c r="P91" s="526"/>
      <c r="Q91" s="527"/>
    </row>
    <row r="92" spans="1:17" s="320" customFormat="1" ht="15.75" customHeight="1" thickBot="1" x14ac:dyDescent="0.25">
      <c r="A92" s="531"/>
      <c r="B92" s="282" t="s">
        <v>85</v>
      </c>
      <c r="C92" s="368" t="s">
        <v>101</v>
      </c>
      <c r="D92" s="131"/>
      <c r="E92" s="131"/>
      <c r="F92" s="333"/>
      <c r="G92" s="130"/>
      <c r="H92" s="131"/>
      <c r="I92" s="130"/>
      <c r="J92" s="333"/>
      <c r="K92" s="130"/>
      <c r="L92" s="131"/>
      <c r="M92" s="130"/>
      <c r="N92" s="137">
        <f t="shared" si="11"/>
        <v>0</v>
      </c>
      <c r="O92" s="331"/>
      <c r="P92" s="105"/>
      <c r="Q92" s="527"/>
    </row>
    <row r="93" spans="1:17" s="320" customFormat="1" ht="15.75" customHeight="1" thickBot="1" x14ac:dyDescent="0.25">
      <c r="A93" s="531"/>
      <c r="B93" s="282" t="s">
        <v>86</v>
      </c>
      <c r="C93" s="321"/>
      <c r="D93" s="131"/>
      <c r="E93" s="131"/>
      <c r="F93" s="333"/>
      <c r="G93" s="130"/>
      <c r="H93" s="131"/>
      <c r="I93" s="130"/>
      <c r="J93" s="333"/>
      <c r="K93" s="130"/>
      <c r="L93" s="131"/>
      <c r="M93" s="130"/>
      <c r="N93" s="137">
        <f t="shared" si="11"/>
        <v>0</v>
      </c>
      <c r="O93" s="331"/>
      <c r="P93" s="335"/>
      <c r="Q93" s="527"/>
    </row>
    <row r="94" spans="1:17" s="320" customFormat="1" ht="15.75" customHeight="1" thickBot="1" x14ac:dyDescent="0.25">
      <c r="A94" s="532"/>
      <c r="B94" s="285" t="s">
        <v>87</v>
      </c>
      <c r="C94" s="322"/>
      <c r="D94" s="132"/>
      <c r="E94" s="132"/>
      <c r="F94" s="334"/>
      <c r="G94" s="133"/>
      <c r="H94" s="132"/>
      <c r="I94" s="133"/>
      <c r="J94" s="334"/>
      <c r="K94" s="133"/>
      <c r="L94" s="132"/>
      <c r="M94" s="133"/>
      <c r="N94" s="138">
        <f>SUM(D94:M94)</f>
        <v>0</v>
      </c>
      <c r="O94" s="338" t="s">
        <v>88</v>
      </c>
      <c r="P94" s="337">
        <f>SUM(P87:P93)</f>
        <v>0</v>
      </c>
      <c r="Q94" s="527"/>
    </row>
    <row r="95" spans="1:17" s="320" customFormat="1" ht="15.75" customHeight="1" thickBot="1" x14ac:dyDescent="0.25">
      <c r="A95" s="530">
        <v>12</v>
      </c>
      <c r="B95" s="319" t="s">
        <v>90</v>
      </c>
      <c r="C95" s="392" t="s">
        <v>493</v>
      </c>
      <c r="D95" s="131"/>
      <c r="E95" s="131"/>
      <c r="F95" s="333"/>
      <c r="G95" s="130"/>
      <c r="H95" s="131"/>
      <c r="I95" s="130"/>
      <c r="J95" s="333"/>
      <c r="K95" s="130"/>
      <c r="L95" s="131"/>
      <c r="M95" s="130"/>
      <c r="N95" s="137">
        <f>SUM(D95:M95)</f>
        <v>0</v>
      </c>
      <c r="O95" s="331"/>
      <c r="P95" s="525">
        <f>+SUM(N95:N102)-P100-P101</f>
        <v>0</v>
      </c>
      <c r="Q95" s="527">
        <f>P102</f>
        <v>0</v>
      </c>
    </row>
    <row r="96" spans="1:17" s="320" customFormat="1" ht="15.75" customHeight="1" thickBot="1" x14ac:dyDescent="0.25">
      <c r="A96" s="531"/>
      <c r="B96" s="533"/>
      <c r="C96" s="534"/>
      <c r="D96" s="131"/>
      <c r="E96" s="131"/>
      <c r="F96" s="333"/>
      <c r="G96" s="130"/>
      <c r="H96" s="131"/>
      <c r="I96" s="130"/>
      <c r="J96" s="333"/>
      <c r="K96" s="130"/>
      <c r="L96" s="131"/>
      <c r="M96" s="130"/>
      <c r="N96" s="137">
        <f t="shared" ref="N96:N101" si="12">SUM(D96:L96)</f>
        <v>0</v>
      </c>
      <c r="O96" s="331"/>
      <c r="P96" s="526"/>
      <c r="Q96" s="527"/>
    </row>
    <row r="97" spans="1:17" s="320" customFormat="1" ht="15.75" customHeight="1" thickBot="1" x14ac:dyDescent="0.25">
      <c r="A97" s="531"/>
      <c r="B97" s="282" t="s">
        <v>46</v>
      </c>
      <c r="C97" s="283"/>
      <c r="D97" s="131"/>
      <c r="E97" s="131"/>
      <c r="F97" s="333"/>
      <c r="G97" s="130"/>
      <c r="H97" s="131"/>
      <c r="I97" s="130"/>
      <c r="J97" s="333"/>
      <c r="K97" s="130"/>
      <c r="L97" s="131"/>
      <c r="M97" s="130"/>
      <c r="N97" s="137">
        <f t="shared" si="12"/>
        <v>0</v>
      </c>
      <c r="O97" s="331"/>
      <c r="P97" s="526"/>
      <c r="Q97" s="527"/>
    </row>
    <row r="98" spans="1:17" s="320" customFormat="1" ht="15.75" customHeight="1" thickBot="1" x14ac:dyDescent="0.25">
      <c r="A98" s="531"/>
      <c r="B98" s="282" t="s">
        <v>84</v>
      </c>
      <c r="C98" s="383"/>
      <c r="D98" s="131"/>
      <c r="E98" s="131"/>
      <c r="F98" s="333"/>
      <c r="G98" s="130"/>
      <c r="H98" s="131"/>
      <c r="I98" s="130"/>
      <c r="J98" s="333"/>
      <c r="K98" s="130"/>
      <c r="L98" s="131"/>
      <c r="M98" s="130"/>
      <c r="N98" s="137">
        <f t="shared" si="12"/>
        <v>0</v>
      </c>
      <c r="O98" s="331"/>
      <c r="P98" s="526"/>
      <c r="Q98" s="527"/>
    </row>
    <row r="99" spans="1:17" s="320" customFormat="1" ht="15.75" customHeight="1" thickBot="1" x14ac:dyDescent="0.25">
      <c r="A99" s="531"/>
      <c r="B99" s="282" t="s">
        <v>89</v>
      </c>
      <c r="C99" s="284"/>
      <c r="D99" s="131"/>
      <c r="E99" s="131"/>
      <c r="F99" s="333"/>
      <c r="G99" s="130"/>
      <c r="H99" s="131"/>
      <c r="I99" s="130"/>
      <c r="J99" s="333"/>
      <c r="K99" s="130"/>
      <c r="L99" s="131"/>
      <c r="M99" s="130"/>
      <c r="N99" s="137">
        <f t="shared" si="12"/>
        <v>0</v>
      </c>
      <c r="O99" s="331"/>
      <c r="P99" s="526"/>
      <c r="Q99" s="527"/>
    </row>
    <row r="100" spans="1:17" s="320" customFormat="1" ht="15.75" customHeight="1" thickBot="1" x14ac:dyDescent="0.25">
      <c r="A100" s="531"/>
      <c r="B100" s="282" t="s">
        <v>85</v>
      </c>
      <c r="C100" s="368" t="s">
        <v>101</v>
      </c>
      <c r="D100" s="131"/>
      <c r="E100" s="131"/>
      <c r="F100" s="333"/>
      <c r="G100" s="130"/>
      <c r="H100" s="131"/>
      <c r="I100" s="130"/>
      <c r="J100" s="333"/>
      <c r="K100" s="130"/>
      <c r="L100" s="131"/>
      <c r="M100" s="130"/>
      <c r="N100" s="137">
        <f t="shared" si="12"/>
        <v>0</v>
      </c>
      <c r="O100" s="331"/>
      <c r="P100" s="105"/>
      <c r="Q100" s="527"/>
    </row>
    <row r="101" spans="1:17" s="320" customFormat="1" ht="15.75" customHeight="1" thickBot="1" x14ac:dyDescent="0.25">
      <c r="A101" s="531"/>
      <c r="B101" s="282" t="s">
        <v>86</v>
      </c>
      <c r="C101" s="321"/>
      <c r="D101" s="131"/>
      <c r="E101" s="131"/>
      <c r="F101" s="333"/>
      <c r="G101" s="130"/>
      <c r="H101" s="131"/>
      <c r="I101" s="130"/>
      <c r="J101" s="333"/>
      <c r="K101" s="130"/>
      <c r="L101" s="131"/>
      <c r="M101" s="130"/>
      <c r="N101" s="137">
        <f t="shared" si="12"/>
        <v>0</v>
      </c>
      <c r="O101" s="331"/>
      <c r="P101" s="335"/>
      <c r="Q101" s="527"/>
    </row>
    <row r="102" spans="1:17" s="320" customFormat="1" ht="15.75" customHeight="1" thickBot="1" x14ac:dyDescent="0.25">
      <c r="A102" s="532"/>
      <c r="B102" s="285" t="s">
        <v>87</v>
      </c>
      <c r="C102" s="322"/>
      <c r="D102" s="132"/>
      <c r="E102" s="132"/>
      <c r="F102" s="334"/>
      <c r="G102" s="133"/>
      <c r="H102" s="132"/>
      <c r="I102" s="133"/>
      <c r="J102" s="334"/>
      <c r="K102" s="133"/>
      <c r="L102" s="132"/>
      <c r="M102" s="133"/>
      <c r="N102" s="138">
        <f>SUM(D102:M102)</f>
        <v>0</v>
      </c>
      <c r="O102" s="338" t="s">
        <v>88</v>
      </c>
      <c r="P102" s="337">
        <f>SUM(P95:P101)</f>
        <v>0</v>
      </c>
      <c r="Q102" s="527"/>
    </row>
    <row r="103" spans="1:17" s="320" customFormat="1" ht="15.75" customHeight="1" thickBot="1" x14ac:dyDescent="0.25">
      <c r="A103" s="530">
        <v>13</v>
      </c>
      <c r="B103" s="319" t="s">
        <v>90</v>
      </c>
      <c r="C103" s="392"/>
      <c r="D103" s="131"/>
      <c r="E103" s="131"/>
      <c r="F103" s="333"/>
      <c r="G103" s="130"/>
      <c r="H103" s="131"/>
      <c r="I103" s="130"/>
      <c r="J103" s="333"/>
      <c r="K103" s="130"/>
      <c r="L103" s="131"/>
      <c r="M103" s="130"/>
      <c r="N103" s="137">
        <f>SUM(D103:M103)</f>
        <v>0</v>
      </c>
      <c r="O103" s="331"/>
      <c r="P103" s="525">
        <f>+SUM(N103:N110)-P108-P109</f>
        <v>0</v>
      </c>
      <c r="Q103" s="527">
        <f>P110</f>
        <v>0</v>
      </c>
    </row>
    <row r="104" spans="1:17" s="320" customFormat="1" ht="15.75" customHeight="1" thickBot="1" x14ac:dyDescent="0.25">
      <c r="A104" s="531"/>
      <c r="B104" s="533"/>
      <c r="C104" s="534"/>
      <c r="D104" s="131"/>
      <c r="E104" s="131"/>
      <c r="F104" s="333"/>
      <c r="G104" s="130"/>
      <c r="H104" s="131"/>
      <c r="I104" s="130"/>
      <c r="J104" s="333"/>
      <c r="K104" s="130"/>
      <c r="L104" s="131"/>
      <c r="M104" s="130"/>
      <c r="N104" s="137">
        <f t="shared" ref="N104:N109" si="13">SUM(D104:L104)</f>
        <v>0</v>
      </c>
      <c r="O104" s="331"/>
      <c r="P104" s="526"/>
      <c r="Q104" s="527"/>
    </row>
    <row r="105" spans="1:17" s="320" customFormat="1" ht="15.75" customHeight="1" thickBot="1" x14ac:dyDescent="0.25">
      <c r="A105" s="531"/>
      <c r="B105" s="282" t="s">
        <v>46</v>
      </c>
      <c r="C105" s="283"/>
      <c r="D105" s="131"/>
      <c r="E105" s="131"/>
      <c r="F105" s="333"/>
      <c r="G105" s="130"/>
      <c r="H105" s="131"/>
      <c r="I105" s="130"/>
      <c r="J105" s="333"/>
      <c r="K105" s="130"/>
      <c r="L105" s="131"/>
      <c r="M105" s="130"/>
      <c r="N105" s="137">
        <f t="shared" si="13"/>
        <v>0</v>
      </c>
      <c r="O105" s="331"/>
      <c r="P105" s="526"/>
      <c r="Q105" s="527"/>
    </row>
    <row r="106" spans="1:17" s="320" customFormat="1" ht="15.75" customHeight="1" thickBot="1" x14ac:dyDescent="0.3">
      <c r="A106" s="531"/>
      <c r="B106" s="282" t="s">
        <v>84</v>
      </c>
      <c r="C106" s="385"/>
      <c r="D106" s="131"/>
      <c r="E106" s="131"/>
      <c r="F106" s="333"/>
      <c r="G106" s="130"/>
      <c r="H106" s="131"/>
      <c r="I106" s="130"/>
      <c r="J106" s="333"/>
      <c r="K106" s="130"/>
      <c r="L106" s="131"/>
      <c r="M106" s="130"/>
      <c r="N106" s="137">
        <f t="shared" si="13"/>
        <v>0</v>
      </c>
      <c r="O106" s="331"/>
      <c r="P106" s="526"/>
      <c r="Q106" s="527"/>
    </row>
    <row r="107" spans="1:17" s="320" customFormat="1" ht="15.75" customHeight="1" thickBot="1" x14ac:dyDescent="0.25">
      <c r="A107" s="531"/>
      <c r="B107" s="282" t="s">
        <v>89</v>
      </c>
      <c r="C107" s="284"/>
      <c r="D107" s="131"/>
      <c r="E107" s="131"/>
      <c r="F107" s="333"/>
      <c r="G107" s="130"/>
      <c r="H107" s="131"/>
      <c r="I107" s="130"/>
      <c r="J107" s="333"/>
      <c r="K107" s="130"/>
      <c r="L107" s="131"/>
      <c r="M107" s="130"/>
      <c r="N107" s="137">
        <f t="shared" si="13"/>
        <v>0</v>
      </c>
      <c r="O107" s="331"/>
      <c r="P107" s="526"/>
      <c r="Q107" s="527"/>
    </row>
    <row r="108" spans="1:17" s="320" customFormat="1" ht="15.75" customHeight="1" thickBot="1" x14ac:dyDescent="0.25">
      <c r="A108" s="531"/>
      <c r="B108" s="282" t="s">
        <v>85</v>
      </c>
      <c r="C108" s="368" t="s">
        <v>101</v>
      </c>
      <c r="D108" s="131"/>
      <c r="E108" s="131"/>
      <c r="F108" s="333"/>
      <c r="G108" s="130"/>
      <c r="H108" s="131"/>
      <c r="I108" s="130"/>
      <c r="J108" s="333"/>
      <c r="K108" s="130"/>
      <c r="L108" s="131"/>
      <c r="M108" s="130"/>
      <c r="N108" s="137">
        <f t="shared" si="13"/>
        <v>0</v>
      </c>
      <c r="O108" s="331"/>
      <c r="P108" s="105"/>
      <c r="Q108" s="527"/>
    </row>
    <row r="109" spans="1:17" s="320" customFormat="1" ht="15.75" customHeight="1" thickBot="1" x14ac:dyDescent="0.25">
      <c r="A109" s="531"/>
      <c r="B109" s="282" t="s">
        <v>86</v>
      </c>
      <c r="C109" s="321"/>
      <c r="D109" s="131"/>
      <c r="E109" s="131"/>
      <c r="F109" s="333"/>
      <c r="G109" s="130"/>
      <c r="H109" s="131"/>
      <c r="I109" s="130"/>
      <c r="J109" s="333"/>
      <c r="K109" s="130"/>
      <c r="L109" s="131"/>
      <c r="M109" s="130"/>
      <c r="N109" s="137">
        <f t="shared" si="13"/>
        <v>0</v>
      </c>
      <c r="O109" s="331"/>
      <c r="P109" s="335"/>
      <c r="Q109" s="527"/>
    </row>
    <row r="110" spans="1:17" s="320" customFormat="1" ht="15.75" customHeight="1" thickBot="1" x14ac:dyDescent="0.25">
      <c r="A110" s="532"/>
      <c r="B110" s="285" t="s">
        <v>87</v>
      </c>
      <c r="C110" s="322"/>
      <c r="D110" s="132"/>
      <c r="E110" s="132"/>
      <c r="F110" s="334"/>
      <c r="G110" s="133"/>
      <c r="H110" s="132"/>
      <c r="I110" s="133"/>
      <c r="J110" s="334"/>
      <c r="K110" s="133"/>
      <c r="L110" s="132"/>
      <c r="M110" s="133"/>
      <c r="N110" s="138">
        <f>SUM(D110:M110)</f>
        <v>0</v>
      </c>
      <c r="O110" s="338" t="s">
        <v>88</v>
      </c>
      <c r="P110" s="337">
        <f>SUM(P103:P109)</f>
        <v>0</v>
      </c>
      <c r="Q110" s="527"/>
    </row>
    <row r="111" spans="1:17" s="320" customFormat="1" ht="15.75" customHeight="1" thickBot="1" x14ac:dyDescent="0.25">
      <c r="A111" s="530">
        <v>14</v>
      </c>
      <c r="B111" s="319" t="s">
        <v>90</v>
      </c>
      <c r="C111" s="392"/>
      <c r="D111" s="131"/>
      <c r="E111" s="131"/>
      <c r="F111" s="333"/>
      <c r="G111" s="130"/>
      <c r="H111" s="131"/>
      <c r="I111" s="130"/>
      <c r="J111" s="333"/>
      <c r="K111" s="130"/>
      <c r="L111" s="131"/>
      <c r="M111" s="130"/>
      <c r="N111" s="137">
        <f>SUM(D111:M111)</f>
        <v>0</v>
      </c>
      <c r="O111" s="331"/>
      <c r="P111" s="525">
        <f>+SUM(N111:N118)-P116-P117</f>
        <v>0</v>
      </c>
      <c r="Q111" s="527">
        <f>P118</f>
        <v>0</v>
      </c>
    </row>
    <row r="112" spans="1:17" s="320" customFormat="1" ht="15.75" customHeight="1" thickBot="1" x14ac:dyDescent="0.25">
      <c r="A112" s="531"/>
      <c r="B112" s="533"/>
      <c r="C112" s="534"/>
      <c r="D112" s="131"/>
      <c r="E112" s="131"/>
      <c r="F112" s="333"/>
      <c r="G112" s="130"/>
      <c r="H112" s="131"/>
      <c r="I112" s="130"/>
      <c r="J112" s="333"/>
      <c r="K112" s="130"/>
      <c r="L112" s="131"/>
      <c r="M112" s="130"/>
      <c r="N112" s="137">
        <f t="shared" ref="N112:N117" si="14">SUM(D112:L112)</f>
        <v>0</v>
      </c>
      <c r="O112" s="331"/>
      <c r="P112" s="526"/>
      <c r="Q112" s="527"/>
    </row>
    <row r="113" spans="1:17" s="320" customFormat="1" ht="15.75" customHeight="1" thickBot="1" x14ac:dyDescent="0.25">
      <c r="A113" s="531"/>
      <c r="B113" s="282" t="s">
        <v>46</v>
      </c>
      <c r="C113" s="283"/>
      <c r="D113" s="131"/>
      <c r="E113" s="131"/>
      <c r="F113" s="333"/>
      <c r="G113" s="130"/>
      <c r="H113" s="131"/>
      <c r="I113" s="130"/>
      <c r="J113" s="333"/>
      <c r="K113" s="130"/>
      <c r="L113" s="131"/>
      <c r="M113" s="130"/>
      <c r="N113" s="137">
        <f t="shared" si="14"/>
        <v>0</v>
      </c>
      <c r="O113" s="331"/>
      <c r="P113" s="526"/>
      <c r="Q113" s="527"/>
    </row>
    <row r="114" spans="1:17" s="320" customFormat="1" ht="15.75" customHeight="1" thickBot="1" x14ac:dyDescent="0.3">
      <c r="A114" s="531"/>
      <c r="B114" s="282" t="s">
        <v>84</v>
      </c>
      <c r="C114" s="385"/>
      <c r="D114" s="131"/>
      <c r="E114" s="131"/>
      <c r="F114" s="333"/>
      <c r="G114" s="130"/>
      <c r="H114" s="131"/>
      <c r="I114" s="130"/>
      <c r="J114" s="333"/>
      <c r="K114" s="130"/>
      <c r="L114" s="131"/>
      <c r="M114" s="130"/>
      <c r="N114" s="137">
        <f t="shared" si="14"/>
        <v>0</v>
      </c>
      <c r="O114" s="331"/>
      <c r="P114" s="526"/>
      <c r="Q114" s="527"/>
    </row>
    <row r="115" spans="1:17" s="320" customFormat="1" ht="15.75" customHeight="1" thickBot="1" x14ac:dyDescent="0.25">
      <c r="A115" s="531"/>
      <c r="B115" s="282" t="s">
        <v>89</v>
      </c>
      <c r="C115" s="284"/>
      <c r="D115" s="131"/>
      <c r="E115" s="131"/>
      <c r="F115" s="333"/>
      <c r="G115" s="130"/>
      <c r="H115" s="131"/>
      <c r="I115" s="130"/>
      <c r="J115" s="333"/>
      <c r="K115" s="130"/>
      <c r="L115" s="131"/>
      <c r="M115" s="130"/>
      <c r="N115" s="137">
        <f t="shared" si="14"/>
        <v>0</v>
      </c>
      <c r="O115" s="331"/>
      <c r="P115" s="526"/>
      <c r="Q115" s="527"/>
    </row>
    <row r="116" spans="1:17" s="320" customFormat="1" ht="15.75" customHeight="1" thickBot="1" x14ac:dyDescent="0.25">
      <c r="A116" s="531"/>
      <c r="B116" s="282" t="s">
        <v>85</v>
      </c>
      <c r="C116" s="368" t="s">
        <v>101</v>
      </c>
      <c r="D116" s="131"/>
      <c r="E116" s="131"/>
      <c r="F116" s="333"/>
      <c r="G116" s="130"/>
      <c r="H116" s="131"/>
      <c r="I116" s="130"/>
      <c r="J116" s="333"/>
      <c r="K116" s="130"/>
      <c r="L116" s="131"/>
      <c r="M116" s="130"/>
      <c r="N116" s="137">
        <f t="shared" si="14"/>
        <v>0</v>
      </c>
      <c r="O116" s="331"/>
      <c r="P116" s="105"/>
      <c r="Q116" s="527"/>
    </row>
    <row r="117" spans="1:17" s="320" customFormat="1" ht="15.75" customHeight="1" thickBot="1" x14ac:dyDescent="0.25">
      <c r="A117" s="531"/>
      <c r="B117" s="282" t="s">
        <v>86</v>
      </c>
      <c r="C117" s="321"/>
      <c r="D117" s="131"/>
      <c r="E117" s="131"/>
      <c r="F117" s="333"/>
      <c r="G117" s="130"/>
      <c r="H117" s="131"/>
      <c r="I117" s="130"/>
      <c r="J117" s="333"/>
      <c r="K117" s="130"/>
      <c r="L117" s="131"/>
      <c r="M117" s="130"/>
      <c r="N117" s="137">
        <f t="shared" si="14"/>
        <v>0</v>
      </c>
      <c r="O117" s="331"/>
      <c r="P117" s="335"/>
      <c r="Q117" s="527"/>
    </row>
    <row r="118" spans="1:17" s="320" customFormat="1" ht="15.75" customHeight="1" thickBot="1" x14ac:dyDescent="0.25">
      <c r="A118" s="532"/>
      <c r="B118" s="285" t="s">
        <v>87</v>
      </c>
      <c r="C118" s="322"/>
      <c r="D118" s="132"/>
      <c r="E118" s="132"/>
      <c r="F118" s="334"/>
      <c r="G118" s="133"/>
      <c r="H118" s="132"/>
      <c r="I118" s="133"/>
      <c r="J118" s="334"/>
      <c r="K118" s="133"/>
      <c r="L118" s="132"/>
      <c r="M118" s="133"/>
      <c r="N118" s="138">
        <f>SUM(D118:M118)</f>
        <v>0</v>
      </c>
      <c r="O118" s="338" t="s">
        <v>88</v>
      </c>
      <c r="P118" s="337">
        <f>SUM(P111:P117)</f>
        <v>0</v>
      </c>
      <c r="Q118" s="527"/>
    </row>
    <row r="119" spans="1:17" x14ac:dyDescent="0.2">
      <c r="P119" s="336"/>
    </row>
  </sheetData>
  <sheetProtection insertColumns="0" insertRows="0" deleteColumns="0" deleteRows="0"/>
  <mergeCells count="69">
    <mergeCell ref="Q103:Q110"/>
    <mergeCell ref="B104:C104"/>
    <mergeCell ref="H4:I4"/>
    <mergeCell ref="J4:K4"/>
    <mergeCell ref="L4:M4"/>
    <mergeCell ref="N4:N5"/>
    <mergeCell ref="D4:E4"/>
    <mergeCell ref="F4:G4"/>
    <mergeCell ref="B4:C6"/>
    <mergeCell ref="P7:P11"/>
    <mergeCell ref="P23:P27"/>
    <mergeCell ref="Q23:Q30"/>
    <mergeCell ref="P95:P99"/>
    <mergeCell ref="Q95:Q102"/>
    <mergeCell ref="P87:P91"/>
    <mergeCell ref="Q87:Q94"/>
    <mergeCell ref="Q111:Q118"/>
    <mergeCell ref="P47:P51"/>
    <mergeCell ref="P111:P115"/>
    <mergeCell ref="B48:C48"/>
    <mergeCell ref="A95:A102"/>
    <mergeCell ref="B96:C96"/>
    <mergeCell ref="A87:A94"/>
    <mergeCell ref="B88:C88"/>
    <mergeCell ref="A71:A78"/>
    <mergeCell ref="B72:C72"/>
    <mergeCell ref="A79:A86"/>
    <mergeCell ref="P79:P83"/>
    <mergeCell ref="Q79:Q86"/>
    <mergeCell ref="B80:C80"/>
    <mergeCell ref="A103:A110"/>
    <mergeCell ref="P103:P107"/>
    <mergeCell ref="A7:A14"/>
    <mergeCell ref="A111:A118"/>
    <mergeCell ref="B24:C24"/>
    <mergeCell ref="B32:C32"/>
    <mergeCell ref="A23:A30"/>
    <mergeCell ref="B40:C40"/>
    <mergeCell ref="A63:A70"/>
    <mergeCell ref="B64:C64"/>
    <mergeCell ref="A55:A62"/>
    <mergeCell ref="B56:C56"/>
    <mergeCell ref="B112:C112"/>
    <mergeCell ref="A39:A46"/>
    <mergeCell ref="A47:A54"/>
    <mergeCell ref="B8:C8"/>
    <mergeCell ref="Q31:Q38"/>
    <mergeCell ref="Q7:Q14"/>
    <mergeCell ref="P39:P43"/>
    <mergeCell ref="P63:P67"/>
    <mergeCell ref="Q63:Q70"/>
    <mergeCell ref="P55:P59"/>
    <mergeCell ref="Q55:Q62"/>
    <mergeCell ref="P4:P5"/>
    <mergeCell ref="O4:O6"/>
    <mergeCell ref="P71:P75"/>
    <mergeCell ref="Q71:Q78"/>
    <mergeCell ref="O1:Q1"/>
    <mergeCell ref="A2:Q2"/>
    <mergeCell ref="Q47:Q54"/>
    <mergeCell ref="A15:A22"/>
    <mergeCell ref="Q15:Q22"/>
    <mergeCell ref="P15:P19"/>
    <mergeCell ref="B16:C16"/>
    <mergeCell ref="A31:A38"/>
    <mergeCell ref="Q39:Q46"/>
    <mergeCell ref="P31:P35"/>
    <mergeCell ref="A4:A6"/>
    <mergeCell ref="Q4:Q6"/>
  </mergeCells>
  <conditionalFormatting sqref="P12">
    <cfRule type="cellIs" dxfId="101" priority="891" operator="greaterThan">
      <formula>24</formula>
    </cfRule>
  </conditionalFormatting>
  <conditionalFormatting sqref="N111:N118 N7:N102">
    <cfRule type="cellIs" dxfId="100" priority="890" operator="equal">
      <formula>0</formula>
    </cfRule>
  </conditionalFormatting>
  <conditionalFormatting sqref="P7">
    <cfRule type="cellIs" dxfId="99" priority="888" stopIfTrue="1" operator="greaterThan">
      <formula>40</formula>
    </cfRule>
  </conditionalFormatting>
  <conditionalFormatting sqref="C9:C12">
    <cfRule type="containsErrors" dxfId="98" priority="710">
      <formula>ISERROR(C9)</formula>
    </cfRule>
  </conditionalFormatting>
  <conditionalFormatting sqref="B8">
    <cfRule type="containsErrors" dxfId="97" priority="709">
      <formula>ISERROR(B8)</formula>
    </cfRule>
  </conditionalFormatting>
  <conditionalFormatting sqref="P15:P16">
    <cfRule type="cellIs" dxfId="96" priority="689" stopIfTrue="1" operator="greaterThan">
      <formula>40</formula>
    </cfRule>
  </conditionalFormatting>
  <conditionalFormatting sqref="P23:P24">
    <cfRule type="cellIs" dxfId="95" priority="687" stopIfTrue="1" operator="greaterThan">
      <formula>40</formula>
    </cfRule>
  </conditionalFormatting>
  <conditionalFormatting sqref="P31:P32">
    <cfRule type="cellIs" dxfId="94" priority="685" stopIfTrue="1" operator="greaterThan">
      <formula>40</formula>
    </cfRule>
  </conditionalFormatting>
  <conditionalFormatting sqref="P39:P40">
    <cfRule type="cellIs" dxfId="93" priority="683" stopIfTrue="1" operator="greaterThan">
      <formula>40</formula>
    </cfRule>
  </conditionalFormatting>
  <conditionalFormatting sqref="P47:P48">
    <cfRule type="cellIs" dxfId="92" priority="681" stopIfTrue="1" operator="greaterThan">
      <formula>40</formula>
    </cfRule>
  </conditionalFormatting>
  <conditionalFormatting sqref="P111:P112">
    <cfRule type="cellIs" dxfId="91" priority="679" stopIfTrue="1" operator="greaterThan">
      <formula>40</formula>
    </cfRule>
  </conditionalFormatting>
  <conditionalFormatting sqref="C18:C19">
    <cfRule type="containsErrors" dxfId="90" priority="523">
      <formula>ISERROR(C18)</formula>
    </cfRule>
  </conditionalFormatting>
  <conditionalFormatting sqref="C26:C27">
    <cfRule type="containsErrors" dxfId="89" priority="521">
      <formula>ISERROR(C26)</formula>
    </cfRule>
  </conditionalFormatting>
  <conditionalFormatting sqref="C35">
    <cfRule type="containsErrors" dxfId="88" priority="519">
      <formula>ISERROR(C35)</formula>
    </cfRule>
  </conditionalFormatting>
  <conditionalFormatting sqref="C42:C43">
    <cfRule type="containsErrors" dxfId="87" priority="517">
      <formula>ISERROR(C42)</formula>
    </cfRule>
  </conditionalFormatting>
  <conditionalFormatting sqref="C50:C51">
    <cfRule type="containsErrors" dxfId="86" priority="515">
      <formula>ISERROR(C50)</formula>
    </cfRule>
  </conditionalFormatting>
  <conditionalFormatting sqref="C114:C115">
    <cfRule type="containsErrors" dxfId="85" priority="513">
      <formula>ISERROR(C114)</formula>
    </cfRule>
  </conditionalFormatting>
  <conditionalFormatting sqref="P13">
    <cfRule type="cellIs" dxfId="84" priority="297" operator="greaterThan">
      <formula>24</formula>
    </cfRule>
  </conditionalFormatting>
  <conditionalFormatting sqref="C34">
    <cfRule type="containsErrors" dxfId="83" priority="259">
      <formula>ISERROR(C34)</formula>
    </cfRule>
  </conditionalFormatting>
  <conditionalFormatting sqref="B16">
    <cfRule type="containsErrors" dxfId="82" priority="253">
      <formula>ISERROR(B16)</formula>
    </cfRule>
  </conditionalFormatting>
  <conditionalFormatting sqref="B24">
    <cfRule type="containsErrors" dxfId="81" priority="252">
      <formula>ISERROR(B24)</formula>
    </cfRule>
  </conditionalFormatting>
  <conditionalFormatting sqref="B32">
    <cfRule type="containsErrors" dxfId="80" priority="251">
      <formula>ISERROR(B32)</formula>
    </cfRule>
  </conditionalFormatting>
  <conditionalFormatting sqref="B40">
    <cfRule type="containsErrors" dxfId="79" priority="250">
      <formula>ISERROR(B40)</formula>
    </cfRule>
  </conditionalFormatting>
  <conditionalFormatting sqref="B48">
    <cfRule type="containsErrors" dxfId="78" priority="249">
      <formula>ISERROR(B48)</formula>
    </cfRule>
  </conditionalFormatting>
  <conditionalFormatting sqref="B112">
    <cfRule type="containsErrors" dxfId="77" priority="247">
      <formula>ISERROR(B112)</formula>
    </cfRule>
  </conditionalFormatting>
  <conditionalFormatting sqref="C20">
    <cfRule type="containsErrors" dxfId="76" priority="245">
      <formula>ISERROR(C20)</formula>
    </cfRule>
  </conditionalFormatting>
  <conditionalFormatting sqref="C28">
    <cfRule type="containsErrors" dxfId="75" priority="244">
      <formula>ISERROR(C28)</formula>
    </cfRule>
  </conditionalFormatting>
  <conditionalFormatting sqref="C17">
    <cfRule type="containsErrors" dxfId="74" priority="187">
      <formula>ISERROR(C17)</formula>
    </cfRule>
  </conditionalFormatting>
  <conditionalFormatting sqref="C25">
    <cfRule type="containsErrors" dxfId="73" priority="186">
      <formula>ISERROR(C25)</formula>
    </cfRule>
  </conditionalFormatting>
  <conditionalFormatting sqref="C33">
    <cfRule type="containsErrors" dxfId="72" priority="185">
      <formula>ISERROR(C33)</formula>
    </cfRule>
  </conditionalFormatting>
  <conditionalFormatting sqref="C41">
    <cfRule type="containsErrors" dxfId="71" priority="184">
      <formula>ISERROR(C41)</formula>
    </cfRule>
  </conditionalFormatting>
  <conditionalFormatting sqref="C49">
    <cfRule type="containsErrors" dxfId="70" priority="183">
      <formula>ISERROR(C49)</formula>
    </cfRule>
  </conditionalFormatting>
  <conditionalFormatting sqref="C113">
    <cfRule type="containsErrors" dxfId="69" priority="181">
      <formula>ISERROR(C113)</formula>
    </cfRule>
  </conditionalFormatting>
  <conditionalFormatting sqref="P20">
    <cfRule type="cellIs" dxfId="68" priority="178" operator="greaterThan">
      <formula>24</formula>
    </cfRule>
  </conditionalFormatting>
  <conditionalFormatting sqref="P21">
    <cfRule type="cellIs" dxfId="67" priority="177" operator="greaterThan">
      <formula>24</formula>
    </cfRule>
  </conditionalFormatting>
  <conditionalFormatting sqref="P28">
    <cfRule type="cellIs" dxfId="66" priority="176" operator="greaterThan">
      <formula>24</formula>
    </cfRule>
  </conditionalFormatting>
  <conditionalFormatting sqref="P29">
    <cfRule type="cellIs" dxfId="65" priority="175" operator="greaterThan">
      <formula>24</formula>
    </cfRule>
  </conditionalFormatting>
  <conditionalFormatting sqref="P36">
    <cfRule type="cellIs" dxfId="64" priority="174" operator="greaterThan">
      <formula>24</formula>
    </cfRule>
  </conditionalFormatting>
  <conditionalFormatting sqref="P37">
    <cfRule type="cellIs" dxfId="63" priority="173" operator="greaterThan">
      <formula>24</formula>
    </cfRule>
  </conditionalFormatting>
  <conditionalFormatting sqref="P44">
    <cfRule type="cellIs" dxfId="62" priority="172" operator="greaterThan">
      <formula>24</formula>
    </cfRule>
  </conditionalFormatting>
  <conditionalFormatting sqref="P45">
    <cfRule type="cellIs" dxfId="61" priority="171" operator="greaterThan">
      <formula>24</formula>
    </cfRule>
  </conditionalFormatting>
  <conditionalFormatting sqref="P52">
    <cfRule type="cellIs" dxfId="60" priority="170" operator="greaterThan">
      <formula>24</formula>
    </cfRule>
  </conditionalFormatting>
  <conditionalFormatting sqref="P53">
    <cfRule type="cellIs" dxfId="59" priority="169" operator="greaterThan">
      <formula>24</formula>
    </cfRule>
  </conditionalFormatting>
  <conditionalFormatting sqref="P116">
    <cfRule type="cellIs" dxfId="58" priority="166" operator="greaterThan">
      <formula>24</formula>
    </cfRule>
  </conditionalFormatting>
  <conditionalFormatting sqref="P117">
    <cfRule type="cellIs" dxfId="57" priority="165" operator="greaterThan">
      <formula>24</formula>
    </cfRule>
  </conditionalFormatting>
  <conditionalFormatting sqref="P95:P96">
    <cfRule type="cellIs" dxfId="56" priority="86" stopIfTrue="1" operator="greaterThan">
      <formula>40</formula>
    </cfRule>
  </conditionalFormatting>
  <conditionalFormatting sqref="C98:C99">
    <cfRule type="containsErrors" dxfId="55" priority="85">
      <formula>ISERROR(C98)</formula>
    </cfRule>
  </conditionalFormatting>
  <conditionalFormatting sqref="B96">
    <cfRule type="containsErrors" dxfId="54" priority="83">
      <formula>ISERROR(B96)</formula>
    </cfRule>
  </conditionalFormatting>
  <conditionalFormatting sqref="C97">
    <cfRule type="containsErrors" dxfId="53" priority="82">
      <formula>ISERROR(C97)</formula>
    </cfRule>
  </conditionalFormatting>
  <conditionalFormatting sqref="P100">
    <cfRule type="cellIs" dxfId="52" priority="81" operator="greaterThan">
      <formula>24</formula>
    </cfRule>
  </conditionalFormatting>
  <conditionalFormatting sqref="P101">
    <cfRule type="cellIs" dxfId="51" priority="80" operator="greaterThan">
      <formula>24</formula>
    </cfRule>
  </conditionalFormatting>
  <conditionalFormatting sqref="P71:P72">
    <cfRule type="cellIs" dxfId="50" priority="72" stopIfTrue="1" operator="greaterThan">
      <formula>40</formula>
    </cfRule>
  </conditionalFormatting>
  <conditionalFormatting sqref="C74:C75">
    <cfRule type="containsErrors" dxfId="49" priority="71">
      <formula>ISERROR(C74)</formula>
    </cfRule>
  </conditionalFormatting>
  <conditionalFormatting sqref="B72">
    <cfRule type="containsErrors" dxfId="48" priority="69">
      <formula>ISERROR(B72)</formula>
    </cfRule>
  </conditionalFormatting>
  <conditionalFormatting sqref="C73">
    <cfRule type="containsErrors" dxfId="47" priority="68">
      <formula>ISERROR(C73)</formula>
    </cfRule>
  </conditionalFormatting>
  <conditionalFormatting sqref="P76">
    <cfRule type="cellIs" dxfId="46" priority="67" operator="greaterThan">
      <formula>24</formula>
    </cfRule>
  </conditionalFormatting>
  <conditionalFormatting sqref="P77">
    <cfRule type="cellIs" dxfId="45" priority="66" operator="greaterThan">
      <formula>24</formula>
    </cfRule>
  </conditionalFormatting>
  <conditionalFormatting sqref="P63:P64">
    <cfRule type="cellIs" dxfId="44" priority="65" stopIfTrue="1" operator="greaterThan">
      <formula>40</formula>
    </cfRule>
  </conditionalFormatting>
  <conditionalFormatting sqref="C67">
    <cfRule type="containsErrors" dxfId="43" priority="64">
      <formula>ISERROR(C67)</formula>
    </cfRule>
  </conditionalFormatting>
  <conditionalFormatting sqref="B64">
    <cfRule type="containsErrors" dxfId="42" priority="62">
      <formula>ISERROR(B64)</formula>
    </cfRule>
  </conditionalFormatting>
  <conditionalFormatting sqref="C65">
    <cfRule type="containsErrors" dxfId="41" priority="61">
      <formula>ISERROR(C65)</formula>
    </cfRule>
  </conditionalFormatting>
  <conditionalFormatting sqref="P68">
    <cfRule type="cellIs" dxfId="40" priority="60" operator="greaterThan">
      <formula>24</formula>
    </cfRule>
  </conditionalFormatting>
  <conditionalFormatting sqref="P69">
    <cfRule type="cellIs" dxfId="39" priority="59" operator="greaterThan">
      <formula>24</formula>
    </cfRule>
  </conditionalFormatting>
  <conditionalFormatting sqref="C66">
    <cfRule type="containsErrors" dxfId="38" priority="43">
      <formula>ISERROR(C66)</formula>
    </cfRule>
  </conditionalFormatting>
  <conditionalFormatting sqref="P55:P56">
    <cfRule type="cellIs" dxfId="37" priority="42" stopIfTrue="1" operator="greaterThan">
      <formula>40</formula>
    </cfRule>
  </conditionalFormatting>
  <conditionalFormatting sqref="C58:C59">
    <cfRule type="containsErrors" dxfId="36" priority="41">
      <formula>ISERROR(C58)</formula>
    </cfRule>
  </conditionalFormatting>
  <conditionalFormatting sqref="B56">
    <cfRule type="containsErrors" dxfId="35" priority="39">
      <formula>ISERROR(B56)</formula>
    </cfRule>
  </conditionalFormatting>
  <conditionalFormatting sqref="C57">
    <cfRule type="containsErrors" dxfId="34" priority="38">
      <formula>ISERROR(C57)</formula>
    </cfRule>
  </conditionalFormatting>
  <conditionalFormatting sqref="P60">
    <cfRule type="cellIs" dxfId="33" priority="37" operator="greaterThan">
      <formula>24</formula>
    </cfRule>
  </conditionalFormatting>
  <conditionalFormatting sqref="P61">
    <cfRule type="cellIs" dxfId="32" priority="36" operator="greaterThan">
      <formula>24</formula>
    </cfRule>
  </conditionalFormatting>
  <conditionalFormatting sqref="P79:P80">
    <cfRule type="cellIs" dxfId="31" priority="34" stopIfTrue="1" operator="greaterThan">
      <formula>40</formula>
    </cfRule>
  </conditionalFormatting>
  <conditionalFormatting sqref="C83">
    <cfRule type="containsErrors" dxfId="30" priority="33">
      <formula>ISERROR(C83)</formula>
    </cfRule>
  </conditionalFormatting>
  <conditionalFormatting sqref="B80">
    <cfRule type="containsErrors" dxfId="29" priority="31">
      <formula>ISERROR(B80)</formula>
    </cfRule>
  </conditionalFormatting>
  <conditionalFormatting sqref="C81">
    <cfRule type="containsErrors" dxfId="28" priority="30">
      <formula>ISERROR(C81)</formula>
    </cfRule>
  </conditionalFormatting>
  <conditionalFormatting sqref="P84">
    <cfRule type="cellIs" dxfId="27" priority="29" operator="greaterThan">
      <formula>24</formula>
    </cfRule>
  </conditionalFormatting>
  <conditionalFormatting sqref="P85">
    <cfRule type="cellIs" dxfId="26" priority="28" operator="greaterThan">
      <formula>24</formula>
    </cfRule>
  </conditionalFormatting>
  <conditionalFormatting sqref="P87:P88">
    <cfRule type="cellIs" dxfId="25" priority="27" stopIfTrue="1" operator="greaterThan">
      <formula>40</formula>
    </cfRule>
  </conditionalFormatting>
  <conditionalFormatting sqref="C90:C91">
    <cfRule type="containsErrors" dxfId="24" priority="26">
      <formula>ISERROR(C90)</formula>
    </cfRule>
  </conditionalFormatting>
  <conditionalFormatting sqref="B88">
    <cfRule type="containsErrors" dxfId="23" priority="24">
      <formula>ISERROR(B88)</formula>
    </cfRule>
  </conditionalFormatting>
  <conditionalFormatting sqref="C89">
    <cfRule type="containsErrors" dxfId="22" priority="23">
      <formula>ISERROR(C89)</formula>
    </cfRule>
  </conditionalFormatting>
  <conditionalFormatting sqref="P92">
    <cfRule type="cellIs" dxfId="21" priority="22" operator="greaterThan">
      <formula>24</formula>
    </cfRule>
  </conditionalFormatting>
  <conditionalFormatting sqref="P93">
    <cfRule type="cellIs" dxfId="20" priority="21" operator="greaterThan">
      <formula>24</formula>
    </cfRule>
  </conditionalFormatting>
  <conditionalFormatting sqref="C82">
    <cfRule type="containsErrors" dxfId="19" priority="20">
      <formula>ISERROR(C82)</formula>
    </cfRule>
  </conditionalFormatting>
  <conditionalFormatting sqref="N103:N110">
    <cfRule type="cellIs" dxfId="18" priority="19" operator="equal">
      <formula>0</formula>
    </cfRule>
  </conditionalFormatting>
  <conditionalFormatting sqref="P103:P104">
    <cfRule type="cellIs" dxfId="17" priority="18" stopIfTrue="1" operator="greaterThan">
      <formula>40</formula>
    </cfRule>
  </conditionalFormatting>
  <conditionalFormatting sqref="C106:C107">
    <cfRule type="containsErrors" dxfId="16" priority="17">
      <formula>ISERROR(C106)</formula>
    </cfRule>
  </conditionalFormatting>
  <conditionalFormatting sqref="B104">
    <cfRule type="containsErrors" dxfId="15" priority="15">
      <formula>ISERROR(B104)</formula>
    </cfRule>
  </conditionalFormatting>
  <conditionalFormatting sqref="C105">
    <cfRule type="containsErrors" dxfId="14" priority="14">
      <formula>ISERROR(C105)</formula>
    </cfRule>
  </conditionalFormatting>
  <conditionalFormatting sqref="P108">
    <cfRule type="cellIs" dxfId="13" priority="13" operator="greaterThan">
      <formula>24</formula>
    </cfRule>
  </conditionalFormatting>
  <conditionalFormatting sqref="P109">
    <cfRule type="cellIs" dxfId="12" priority="12" operator="greaterThan">
      <formula>24</formula>
    </cfRule>
  </conditionalFormatting>
  <conditionalFormatting sqref="C36">
    <cfRule type="containsErrors" dxfId="11" priority="11">
      <formula>ISERROR(C36)</formula>
    </cfRule>
  </conditionalFormatting>
  <conditionalFormatting sqref="C44">
    <cfRule type="containsErrors" dxfId="10" priority="10">
      <formula>ISERROR(C44)</formula>
    </cfRule>
  </conditionalFormatting>
  <conditionalFormatting sqref="C52">
    <cfRule type="containsErrors" dxfId="9" priority="9">
      <formula>ISERROR(C52)</formula>
    </cfRule>
  </conditionalFormatting>
  <conditionalFormatting sqref="C60">
    <cfRule type="containsErrors" dxfId="8" priority="8">
      <formula>ISERROR(C60)</formula>
    </cfRule>
  </conditionalFormatting>
  <conditionalFormatting sqref="C68">
    <cfRule type="containsErrors" dxfId="7" priority="7">
      <formula>ISERROR(C68)</formula>
    </cfRule>
  </conditionalFormatting>
  <conditionalFormatting sqref="C76">
    <cfRule type="containsErrors" dxfId="6" priority="6">
      <formula>ISERROR(C76)</formula>
    </cfRule>
  </conditionalFormatting>
  <conditionalFormatting sqref="C84">
    <cfRule type="containsErrors" dxfId="5" priority="5">
      <formula>ISERROR(C84)</formula>
    </cfRule>
  </conditionalFormatting>
  <conditionalFormatting sqref="C92">
    <cfRule type="containsErrors" dxfId="4" priority="4">
      <formula>ISERROR(C92)</formula>
    </cfRule>
  </conditionalFormatting>
  <conditionalFormatting sqref="C100">
    <cfRule type="containsErrors" dxfId="3" priority="3">
      <formula>ISERROR(C100)</formula>
    </cfRule>
  </conditionalFormatting>
  <conditionalFormatting sqref="C108">
    <cfRule type="containsErrors" dxfId="2" priority="2">
      <formula>ISERROR(C108)</formula>
    </cfRule>
  </conditionalFormatting>
  <conditionalFormatting sqref="C116">
    <cfRule type="containsErrors" dxfId="1" priority="1">
      <formula>ISERROR(C116)</formula>
    </cfRule>
  </conditionalFormatting>
  <printOptions horizontalCentered="1"/>
  <pageMargins left="0.23622047244094491" right="0.23622047244094491" top="0.39370078740157483" bottom="0.28000000000000003" header="0.31496062992125984" footer="0.19685039370078741"/>
  <pageSetup paperSize="9" scale="110" fitToHeight="0" orientation="landscape" r:id="rId1"/>
  <rowBreaks count="1" manualBreakCount="1">
    <brk id="46" max="46" man="1"/>
  </rowBreaks>
  <ignoredErrors>
    <ignoredError sqref="P6" unlockedFormula="1"/>
    <ignoredError sqref="N16 N24 N32 N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90" r:id="rId4" name="Button 346">
              <controlPr defaultSize="0" print="0" autoFill="0" autoPict="0" macro="[0]!Insertar">
                <anchor moveWithCells="1" sizeWithCells="1">
                  <from>
                    <xdr:col>3</xdr:col>
                    <xdr:colOff>38100</xdr:colOff>
                    <xdr:row>2</xdr:row>
                    <xdr:rowOff>19050</xdr:rowOff>
                  </from>
                  <to>
                    <xdr:col>3</xdr:col>
                    <xdr:colOff>200025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2" r:id="rId5" name="Button 348">
              <controlPr defaultSize="0" print="0" autoFill="0" autoPict="0" macro="[0]!Insertar2">
                <anchor moveWithCells="1" sizeWithCells="1">
                  <from>
                    <xdr:col>5</xdr:col>
                    <xdr:colOff>38100</xdr:colOff>
                    <xdr:row>2</xdr:row>
                    <xdr:rowOff>19050</xdr:rowOff>
                  </from>
                  <to>
                    <xdr:col>5</xdr:col>
                    <xdr:colOff>200025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3" r:id="rId6" name="Button 349">
              <controlPr defaultSize="0" print="0" autoFill="0" autoPict="0" macro="[0]!Insertar3">
                <anchor moveWithCells="1" sizeWithCells="1">
                  <from>
                    <xdr:col>7</xdr:col>
                    <xdr:colOff>38100</xdr:colOff>
                    <xdr:row>2</xdr:row>
                    <xdr:rowOff>19050</xdr:rowOff>
                  </from>
                  <to>
                    <xdr:col>7</xdr:col>
                    <xdr:colOff>200025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4" r:id="rId7" name="Button 350">
              <controlPr defaultSize="0" print="0" autoFill="0" autoPict="0" macro="[0]!Insertar4">
                <anchor moveWithCells="1" sizeWithCells="1">
                  <from>
                    <xdr:col>9</xdr:col>
                    <xdr:colOff>47625</xdr:colOff>
                    <xdr:row>2</xdr:row>
                    <xdr:rowOff>19050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5" r:id="rId8" name="Button 351">
              <controlPr defaultSize="0" print="0" autoFill="0" autoPict="0" macro="[0]!Insertar5">
                <anchor moveWithCells="1" sizeWithCells="1">
                  <from>
                    <xdr:col>11</xdr:col>
                    <xdr:colOff>57150</xdr:colOff>
                    <xdr:row>2</xdr:row>
                    <xdr:rowOff>19050</xdr:rowOff>
                  </from>
                  <to>
                    <xdr:col>11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5" r:id="rId9" name="Button 361">
              <controlPr defaultSize="0" print="0" autoFill="0" autoPict="0" macro="[0]!Adicionar">
                <anchor moveWithCells="1" sizeWithCells="1">
                  <from>
                    <xdr:col>17</xdr:col>
                    <xdr:colOff>47625</xdr:colOff>
                    <xdr:row>52</xdr:row>
                    <xdr:rowOff>85725</xdr:rowOff>
                  </from>
                  <to>
                    <xdr:col>17</xdr:col>
                    <xdr:colOff>238125</xdr:colOff>
                    <xdr:row>53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4872-4148-464C-B38E-1148F3600623}">
  <sheetPr codeName="Hoja5">
    <tabColor theme="8" tint="-0.249977111117893"/>
    <pageSetUpPr fitToPage="1"/>
  </sheetPr>
  <dimension ref="A1:H19"/>
  <sheetViews>
    <sheetView workbookViewId="0">
      <selection activeCell="B10" sqref="B10"/>
    </sheetView>
  </sheetViews>
  <sheetFormatPr baseColWidth="10" defaultColWidth="11.42578125" defaultRowHeight="12.75" x14ac:dyDescent="0.2"/>
  <cols>
    <col min="1" max="1" width="4.42578125" style="65" customWidth="1"/>
    <col min="2" max="2" width="49.85546875" style="65" customWidth="1"/>
    <col min="3" max="3" width="22.5703125" style="65" customWidth="1"/>
    <col min="4" max="4" width="29.42578125" style="65" customWidth="1"/>
    <col min="5" max="5" width="22.28515625" style="65" customWidth="1"/>
    <col min="6" max="6" width="23.7109375" style="65" customWidth="1"/>
    <col min="7" max="7" width="11.42578125" style="65"/>
    <col min="8" max="8" width="12.28515625" style="65" hidden="1" customWidth="1"/>
    <col min="9" max="16384" width="11.42578125" style="65"/>
  </cols>
  <sheetData>
    <row r="1" spans="1:8" ht="38.25" customHeight="1" x14ac:dyDescent="0.25">
      <c r="F1" s="31" t="s">
        <v>49</v>
      </c>
    </row>
    <row r="2" spans="1:8" ht="18" x14ac:dyDescent="0.25">
      <c r="A2" s="553" t="s">
        <v>78</v>
      </c>
      <c r="B2" s="553"/>
      <c r="C2" s="553"/>
      <c r="D2" s="553"/>
      <c r="E2" s="553"/>
      <c r="F2" s="553"/>
    </row>
    <row r="3" spans="1:8" x14ac:dyDescent="0.2">
      <c r="A3" s="66"/>
      <c r="B3" s="66"/>
      <c r="C3" s="66"/>
      <c r="D3" s="66"/>
      <c r="E3" s="66"/>
      <c r="F3" s="66"/>
    </row>
    <row r="4" spans="1:8" ht="15.75" x14ac:dyDescent="0.25">
      <c r="A4" s="40" t="s">
        <v>76</v>
      </c>
      <c r="B4" s="66"/>
      <c r="C4" s="328" t="str">
        <f>+'Anexo 05'!E4</f>
        <v>0708701</v>
      </c>
      <c r="D4" s="66"/>
      <c r="E4" s="66"/>
      <c r="F4" s="66"/>
      <c r="H4" s="65">
        <v>24</v>
      </c>
    </row>
    <row r="5" spans="1:8" ht="15.75" x14ac:dyDescent="0.25">
      <c r="A5" s="40" t="s">
        <v>75</v>
      </c>
      <c r="B5" s="66"/>
      <c r="C5" s="328" t="str">
        <f>+'Anexo 05'!E5</f>
        <v>ANTONIO RAYMONDI</v>
      </c>
      <c r="D5" s="66"/>
      <c r="E5" s="66"/>
      <c r="F5" s="66"/>
      <c r="H5" s="65">
        <v>30</v>
      </c>
    </row>
    <row r="6" spans="1:8" ht="13.5" thickBot="1" x14ac:dyDescent="0.25">
      <c r="H6" s="65">
        <v>40</v>
      </c>
    </row>
    <row r="7" spans="1:8" ht="41.25" customHeight="1" thickBot="1" x14ac:dyDescent="0.25">
      <c r="A7" s="323" t="s">
        <v>25</v>
      </c>
      <c r="B7" s="324" t="s">
        <v>22</v>
      </c>
      <c r="C7" s="324" t="s">
        <v>50</v>
      </c>
      <c r="D7" s="325" t="s">
        <v>21</v>
      </c>
      <c r="E7" s="325" t="s">
        <v>51</v>
      </c>
      <c r="F7" s="326" t="s">
        <v>24</v>
      </c>
    </row>
    <row r="8" spans="1:8" ht="25.5" customHeight="1" x14ac:dyDescent="0.2">
      <c r="A8" s="95">
        <v>1</v>
      </c>
      <c r="B8" s="96"/>
      <c r="C8" s="97" t="str">
        <f>+IF(LEN(E8)&gt;0,"Ley 29944","")</f>
        <v/>
      </c>
      <c r="D8" s="67"/>
      <c r="E8" s="102"/>
      <c r="F8" s="69"/>
    </row>
    <row r="9" spans="1:8" ht="25.5" customHeight="1" x14ac:dyDescent="0.2">
      <c r="A9" s="98">
        <v>2</v>
      </c>
      <c r="B9" s="96"/>
      <c r="C9" s="97" t="str">
        <f t="shared" ref="C9:C18" si="0">+IF(LEN(E9)&gt;0,"Ley 29944","")</f>
        <v/>
      </c>
      <c r="D9" s="67"/>
      <c r="E9" s="68"/>
      <c r="F9" s="69"/>
    </row>
    <row r="10" spans="1:8" ht="25.5" customHeight="1" x14ac:dyDescent="0.2">
      <c r="A10" s="98">
        <v>3</v>
      </c>
      <c r="B10" s="96"/>
      <c r="C10" s="97" t="str">
        <f t="shared" si="0"/>
        <v/>
      </c>
      <c r="D10" s="67"/>
      <c r="E10" s="68"/>
      <c r="F10" s="69"/>
    </row>
    <row r="11" spans="1:8" ht="25.5" customHeight="1" x14ac:dyDescent="0.2">
      <c r="A11" s="98">
        <v>4</v>
      </c>
      <c r="B11" s="96"/>
      <c r="C11" s="97" t="str">
        <f t="shared" si="0"/>
        <v/>
      </c>
      <c r="D11" s="67"/>
      <c r="E11" s="68"/>
      <c r="F11" s="69"/>
    </row>
    <row r="12" spans="1:8" ht="25.5" customHeight="1" x14ac:dyDescent="0.2">
      <c r="A12" s="98">
        <v>5</v>
      </c>
      <c r="B12" s="96"/>
      <c r="C12" s="97" t="str">
        <f t="shared" si="0"/>
        <v/>
      </c>
      <c r="D12" s="67"/>
      <c r="E12" s="68"/>
      <c r="F12" s="69"/>
    </row>
    <row r="13" spans="1:8" ht="25.5" customHeight="1" x14ac:dyDescent="0.2">
      <c r="A13" s="98">
        <v>6</v>
      </c>
      <c r="B13" s="96"/>
      <c r="C13" s="97" t="str">
        <f t="shared" si="0"/>
        <v/>
      </c>
      <c r="D13" s="67"/>
      <c r="E13" s="68"/>
      <c r="F13" s="70"/>
    </row>
    <row r="14" spans="1:8" ht="25.5" customHeight="1" x14ac:dyDescent="0.2">
      <c r="A14" s="98">
        <v>7</v>
      </c>
      <c r="B14" s="96"/>
      <c r="C14" s="97" t="str">
        <f t="shared" si="0"/>
        <v/>
      </c>
      <c r="D14" s="67"/>
      <c r="E14" s="68"/>
      <c r="F14" s="70"/>
    </row>
    <row r="15" spans="1:8" ht="25.5" customHeight="1" x14ac:dyDescent="0.2">
      <c r="A15" s="98">
        <v>8</v>
      </c>
      <c r="B15" s="96"/>
      <c r="C15" s="97" t="str">
        <f t="shared" si="0"/>
        <v/>
      </c>
      <c r="D15" s="67"/>
      <c r="E15" s="68"/>
      <c r="F15" s="70"/>
    </row>
    <row r="16" spans="1:8" ht="25.5" customHeight="1" x14ac:dyDescent="0.2">
      <c r="A16" s="98">
        <v>9</v>
      </c>
      <c r="B16" s="96"/>
      <c r="C16" s="97" t="str">
        <f t="shared" si="0"/>
        <v/>
      </c>
      <c r="D16" s="67"/>
      <c r="E16" s="68"/>
      <c r="F16" s="70"/>
    </row>
    <row r="17" spans="1:6" ht="25.5" customHeight="1" x14ac:dyDescent="0.2">
      <c r="A17" s="98">
        <v>14</v>
      </c>
      <c r="B17" s="96"/>
      <c r="C17" s="97" t="str">
        <f t="shared" si="0"/>
        <v/>
      </c>
      <c r="D17" s="67"/>
      <c r="E17" s="68"/>
      <c r="F17" s="70"/>
    </row>
    <row r="18" spans="1:6" ht="25.5" customHeight="1" thickBot="1" x14ac:dyDescent="0.25">
      <c r="A18" s="99">
        <v>15</v>
      </c>
      <c r="B18" s="96" t="e">
        <f>+VLOOKUP(E18,#REF!,4,0)&amp;" - "&amp;VLOOKUP(E18,#REF!,6,0)</f>
        <v>#REF!</v>
      </c>
      <c r="C18" s="97" t="str">
        <f t="shared" si="0"/>
        <v/>
      </c>
      <c r="D18" s="67"/>
      <c r="E18" s="68"/>
      <c r="F18" s="71"/>
    </row>
    <row r="19" spans="1:6" ht="15.75" thickBot="1" x14ac:dyDescent="0.25">
      <c r="A19" s="554" t="s">
        <v>17</v>
      </c>
      <c r="B19" s="555"/>
      <c r="C19" s="555"/>
      <c r="D19" s="555"/>
      <c r="E19" s="100" t="str">
        <f>+"N° PLAZAS: "&amp;+COUNTA(E8:E18)</f>
        <v>N° PLAZAS: 0</v>
      </c>
      <c r="F19" s="327"/>
    </row>
  </sheetData>
  <mergeCells count="2">
    <mergeCell ref="A2:F2"/>
    <mergeCell ref="A19:D19"/>
  </mergeCells>
  <conditionalFormatting sqref="B8:B18">
    <cfRule type="containsErrors" dxfId="0" priority="2">
      <formula>ISERROR(B8)</formula>
    </cfRule>
  </conditionalFormatting>
  <dataValidations count="2">
    <dataValidation type="list" allowBlank="1" showInputMessage="1" showErrorMessage="1" sqref="F8:F12" xr:uid="{FDC209E4-6E59-4D38-9774-FEFD996495B8}">
      <formula1>$H$4:$H$6</formula1>
    </dataValidation>
    <dataValidation type="list" allowBlank="1" showInputMessage="1" showErrorMessage="1" sqref="D8:D18" xr:uid="{C545FD6A-4978-4393-8D1D-774218798236}">
      <formula1>"Área de Gestión Institucional,Área de Gestión Pedagógica"</formula1>
    </dataValidation>
  </dataValidations>
  <printOptions horizontalCentered="1"/>
  <pageMargins left="0.35433070866141736" right="0.35433070866141736" top="0.78740157480314965" bottom="0.62992125984251968" header="0.31496062992125984" footer="0.31496062992125984"/>
  <pageSetup paperSize="9" scale="93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71258-14B3-44C4-A0A6-34D7BBF593E1}">
  <sheetPr codeName="Hoja6">
    <tabColor rgb="FF92D050"/>
    <pageSetUpPr fitToPage="1"/>
  </sheetPr>
  <dimension ref="A1:Q56"/>
  <sheetViews>
    <sheetView showGridLines="0" tabSelected="1" zoomScaleNormal="100" workbookViewId="0">
      <selection activeCell="H13" sqref="H13"/>
    </sheetView>
  </sheetViews>
  <sheetFormatPr baseColWidth="10" defaultColWidth="11.42578125" defaultRowHeight="12.75" x14ac:dyDescent="0.2"/>
  <cols>
    <col min="1" max="1" width="12" style="5" customWidth="1"/>
    <col min="2" max="2" width="8.140625" style="5" customWidth="1"/>
    <col min="3" max="3" width="12.28515625" style="5" customWidth="1"/>
    <col min="4" max="4" width="2" style="5" customWidth="1"/>
    <col min="5" max="5" width="21.42578125" style="5" customWidth="1"/>
    <col min="6" max="6" width="6.7109375" style="5" customWidth="1"/>
    <col min="7" max="7" width="8.42578125" style="5" customWidth="1"/>
    <col min="8" max="8" width="9" style="5" customWidth="1"/>
    <col min="9" max="9" width="8.7109375" style="5" customWidth="1"/>
    <col min="10" max="13" width="7.7109375" style="5" customWidth="1"/>
    <col min="14" max="14" width="8.28515625" style="5" customWidth="1"/>
    <col min="15" max="15" width="10.7109375" style="5" customWidth="1"/>
    <col min="16" max="16" width="6.7109375" style="5" customWidth="1"/>
    <col min="17" max="17" width="10.7109375" style="5" customWidth="1"/>
    <col min="18" max="16384" width="11.42578125" style="5"/>
  </cols>
  <sheetData>
    <row r="1" spans="1:17" ht="42.75" customHeight="1" x14ac:dyDescent="0.25">
      <c r="A1" s="72"/>
      <c r="B1" s="72"/>
      <c r="C1" s="72"/>
      <c r="D1" s="72"/>
      <c r="E1" s="72"/>
      <c r="F1" s="72"/>
      <c r="G1" s="72"/>
      <c r="H1" s="31"/>
      <c r="I1" s="31" t="s">
        <v>28</v>
      </c>
      <c r="J1" s="72"/>
      <c r="K1" s="72"/>
      <c r="L1" s="72"/>
      <c r="M1" s="72"/>
      <c r="N1" s="72"/>
    </row>
    <row r="2" spans="1:17" ht="23.25" x14ac:dyDescent="0.35">
      <c r="A2" s="556" t="s">
        <v>12</v>
      </c>
      <c r="B2" s="556"/>
      <c r="C2" s="556"/>
      <c r="D2" s="556"/>
      <c r="E2" s="556"/>
      <c r="F2" s="556"/>
      <c r="G2" s="556"/>
      <c r="H2" s="556"/>
      <c r="I2" s="556"/>
      <c r="J2" s="72"/>
      <c r="K2" s="72"/>
      <c r="L2" s="72"/>
      <c r="M2" s="72"/>
      <c r="N2" s="72"/>
      <c r="O2" s="72"/>
      <c r="P2" s="72"/>
      <c r="Q2" s="72"/>
    </row>
    <row r="3" spans="1:17" ht="15.75" x14ac:dyDescent="0.25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31"/>
    </row>
    <row r="4" spans="1:17" ht="20.25" x14ac:dyDescent="0.3">
      <c r="A4" s="46" t="s">
        <v>76</v>
      </c>
      <c r="B4" s="72"/>
      <c r="C4" s="72"/>
      <c r="D4" s="73" t="s">
        <v>73</v>
      </c>
      <c r="E4" s="154" t="str">
        <f>+INICIO!L4</f>
        <v>0708701</v>
      </c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31"/>
    </row>
    <row r="5" spans="1:17" ht="20.25" x14ac:dyDescent="0.3">
      <c r="A5" s="46" t="s">
        <v>75</v>
      </c>
      <c r="B5" s="73"/>
      <c r="C5" s="73"/>
      <c r="D5" s="73" t="s">
        <v>73</v>
      </c>
      <c r="E5" s="154" t="str">
        <f>INICIO!B8</f>
        <v>ANTONIO RAYMONDI</v>
      </c>
      <c r="F5" s="73"/>
    </row>
    <row r="6" spans="1:17" ht="20.25" x14ac:dyDescent="0.3">
      <c r="A6" s="46" t="s">
        <v>52</v>
      </c>
      <c r="C6" s="74"/>
      <c r="D6" s="73" t="s">
        <v>73</v>
      </c>
      <c r="E6" s="154" t="str">
        <f>+INICIO!B12</f>
        <v>Secundaria</v>
      </c>
      <c r="F6" s="73"/>
    </row>
    <row r="7" spans="1:17" ht="20.25" x14ac:dyDescent="0.3">
      <c r="A7" s="46" t="s">
        <v>74</v>
      </c>
      <c r="B7" s="74"/>
      <c r="D7" s="73" t="s">
        <v>73</v>
      </c>
      <c r="E7" s="74"/>
      <c r="F7" s="73"/>
    </row>
    <row r="8" spans="1:17" ht="21.75" customHeight="1" thickBot="1" x14ac:dyDescent="0.25">
      <c r="A8" s="75"/>
    </row>
    <row r="9" spans="1:17" ht="16.5" thickBot="1" x14ac:dyDescent="0.3">
      <c r="A9" s="76" t="s">
        <v>13</v>
      </c>
      <c r="B9" s="76"/>
      <c r="C9" s="76"/>
      <c r="D9" s="76"/>
      <c r="E9" s="76"/>
      <c r="F9" s="76"/>
      <c r="G9" s="76"/>
      <c r="H9" s="281">
        <f>+H11+H13+H15</f>
        <v>175</v>
      </c>
      <c r="I9" s="77" t="s">
        <v>47</v>
      </c>
    </row>
    <row r="10" spans="1:17" ht="13.5" thickBot="1" x14ac:dyDescent="0.25">
      <c r="A10" s="75"/>
      <c r="H10" s="78"/>
      <c r="I10" s="78"/>
    </row>
    <row r="11" spans="1:17" ht="16.5" thickBot="1" x14ac:dyDescent="0.3">
      <c r="A11" s="79" t="s">
        <v>14</v>
      </c>
      <c r="G11" s="80"/>
      <c r="H11" s="280">
        <f>'Anexo 03'!P14</f>
        <v>0</v>
      </c>
      <c r="I11" s="24" t="s">
        <v>47</v>
      </c>
    </row>
    <row r="12" spans="1:17" ht="16.5" thickBot="1" x14ac:dyDescent="0.3">
      <c r="A12" s="40"/>
      <c r="H12" s="24"/>
      <c r="I12" s="24"/>
    </row>
    <row r="13" spans="1:17" ht="16.5" thickBot="1" x14ac:dyDescent="0.3">
      <c r="A13" s="79" t="s">
        <v>15</v>
      </c>
      <c r="G13" s="80"/>
      <c r="H13" s="280">
        <v>0</v>
      </c>
      <c r="I13" s="24" t="s">
        <v>47</v>
      </c>
    </row>
    <row r="14" spans="1:17" ht="16.5" thickBot="1" x14ac:dyDescent="0.3">
      <c r="A14" s="40"/>
      <c r="H14" s="24"/>
      <c r="I14" s="24"/>
    </row>
    <row r="15" spans="1:17" ht="16.5" thickBot="1" x14ac:dyDescent="0.3">
      <c r="A15" s="79" t="s">
        <v>16</v>
      </c>
      <c r="H15" s="280">
        <f>'Anexo 03'!P6-H11-H13</f>
        <v>175</v>
      </c>
      <c r="I15" s="24" t="s">
        <v>47</v>
      </c>
    </row>
    <row r="16" spans="1:17" x14ac:dyDescent="0.2">
      <c r="A16" s="33"/>
      <c r="C16" s="33"/>
      <c r="G16" s="80"/>
    </row>
    <row r="17" spans="1:10" ht="15.75" x14ac:dyDescent="0.25">
      <c r="B17" s="40" t="s">
        <v>72</v>
      </c>
      <c r="C17" s="40"/>
      <c r="D17" s="40"/>
      <c r="E17" s="40"/>
      <c r="F17" s="40"/>
      <c r="G17" s="40"/>
      <c r="H17" s="40"/>
    </row>
    <row r="18" spans="1:10" x14ac:dyDescent="0.2">
      <c r="A18" s="75"/>
    </row>
    <row r="19" spans="1:10" s="82" customFormat="1" ht="17.100000000000001" customHeight="1" x14ac:dyDescent="0.3">
      <c r="A19" s="81"/>
      <c r="B19" s="79" t="str">
        <f>'Anexo 02-A'!B7</f>
        <v>MATEMATICA</v>
      </c>
      <c r="H19" s="155">
        <f>+'Anexo 02-A'!T7</f>
        <v>20</v>
      </c>
      <c r="I19" s="24" t="s">
        <v>47</v>
      </c>
    </row>
    <row r="20" spans="1:10" s="82" customFormat="1" ht="17.100000000000001" customHeight="1" x14ac:dyDescent="0.3">
      <c r="A20" s="81"/>
      <c r="B20" s="79" t="str">
        <f>'Anexo 02-A'!B8</f>
        <v>COMUNICACIÓN EN LENGUA MATERNA (CASTELLANO)</v>
      </c>
      <c r="H20" s="155">
        <f>+'Anexo 02-A'!T8</f>
        <v>20</v>
      </c>
      <c r="I20" s="24" t="s">
        <v>47</v>
      </c>
    </row>
    <row r="21" spans="1:10" s="82" customFormat="1" ht="17.100000000000001" customHeight="1" x14ac:dyDescent="0.3">
      <c r="A21" s="81"/>
      <c r="B21" s="79" t="str">
        <f>'Anexo 02-A'!B9</f>
        <v>COMUNICACIÓN EN SEGUNDA LENGUA (LENGUA ORIGINARIA)</v>
      </c>
      <c r="H21" s="155">
        <f>+'Anexo 02-A'!T9</f>
        <v>15</v>
      </c>
      <c r="I21" s="24" t="s">
        <v>47</v>
      </c>
    </row>
    <row r="22" spans="1:10" s="82" customFormat="1" ht="17.100000000000001" customHeight="1" x14ac:dyDescent="0.3">
      <c r="A22" s="81"/>
      <c r="B22" s="79" t="str">
        <f>'Anexo 02-A'!B10</f>
        <v>INGLES</v>
      </c>
      <c r="H22" s="155">
        <f>+'Anexo 02-A'!T10</f>
        <v>10</v>
      </c>
      <c r="I22" s="24" t="s">
        <v>47</v>
      </c>
    </row>
    <row r="23" spans="1:10" s="82" customFormat="1" ht="17.100000000000001" customHeight="1" x14ac:dyDescent="0.3">
      <c r="A23" s="81"/>
      <c r="B23" s="79" t="str">
        <f>'Anexo 02-A'!B11</f>
        <v>ARTE Y CULTURA</v>
      </c>
      <c r="H23" s="155">
        <f>+'Anexo 02-A'!T11</f>
        <v>15</v>
      </c>
      <c r="I23" s="24" t="s">
        <v>47</v>
      </c>
    </row>
    <row r="24" spans="1:10" s="82" customFormat="1" ht="17.100000000000001" customHeight="1" x14ac:dyDescent="0.3">
      <c r="A24" s="81"/>
      <c r="B24" s="79" t="str">
        <f>'Anexo 02-A'!B12</f>
        <v>CIENCIAS SOCIALES</v>
      </c>
      <c r="H24" s="155">
        <f>+'Anexo 02-A'!T12</f>
        <v>15</v>
      </c>
      <c r="I24" s="24" t="s">
        <v>47</v>
      </c>
      <c r="J24" s="83"/>
    </row>
    <row r="25" spans="1:10" s="82" customFormat="1" ht="17.100000000000001" customHeight="1" x14ac:dyDescent="0.3">
      <c r="A25" s="81"/>
      <c r="B25" s="79" t="str">
        <f>'Anexo 02-A'!B13</f>
        <v>DESARROLLO PERSONAL, CIUDADANIA Y CIVICA</v>
      </c>
      <c r="H25" s="155">
        <f>+'Anexo 02-A'!T13</f>
        <v>15</v>
      </c>
      <c r="I25" s="24" t="s">
        <v>47</v>
      </c>
    </row>
    <row r="26" spans="1:10" s="82" customFormat="1" ht="17.100000000000001" customHeight="1" x14ac:dyDescent="0.3">
      <c r="A26" s="81"/>
      <c r="B26" s="79" t="str">
        <f>'Anexo 02-A'!B14</f>
        <v>EDUCACION FISICA</v>
      </c>
      <c r="H26" s="155">
        <f>+'Anexo 02-A'!T14</f>
        <v>15</v>
      </c>
      <c r="I26" s="24" t="s">
        <v>47</v>
      </c>
    </row>
    <row r="27" spans="1:10" s="82" customFormat="1" ht="17.100000000000001" customHeight="1" x14ac:dyDescent="0.3">
      <c r="A27" s="81"/>
      <c r="B27" s="79" t="str">
        <f>'Anexo 02-A'!B15</f>
        <v>EDUCACION RELIGIOSA</v>
      </c>
      <c r="H27" s="155">
        <f>+'Anexo 02-A'!T15</f>
        <v>10</v>
      </c>
      <c r="I27" s="24" t="s">
        <v>47</v>
      </c>
    </row>
    <row r="28" spans="1:10" s="82" customFormat="1" ht="17.100000000000001" customHeight="1" x14ac:dyDescent="0.3">
      <c r="A28" s="81"/>
      <c r="B28" s="79" t="str">
        <f>'Anexo 02-A'!B16</f>
        <v>CIENCIA Y TECNOLOGIA</v>
      </c>
      <c r="H28" s="155">
        <f>+'Anexo 02-A'!T16</f>
        <v>20</v>
      </c>
      <c r="I28" s="24" t="s">
        <v>47</v>
      </c>
    </row>
    <row r="29" spans="1:10" s="82" customFormat="1" ht="17.100000000000001" customHeight="1" x14ac:dyDescent="0.3">
      <c r="A29" s="81"/>
      <c r="B29" s="79" t="str">
        <f>'Anexo 02-A'!B17</f>
        <v>EDUCACION PARA EL TRABAJO</v>
      </c>
      <c r="H29" s="155">
        <f>+'Anexo 02-A'!T17</f>
        <v>10</v>
      </c>
      <c r="I29" s="24" t="s">
        <v>47</v>
      </c>
    </row>
    <row r="30" spans="1:10" s="82" customFormat="1" ht="17.100000000000001" customHeight="1" x14ac:dyDescent="0.3">
      <c r="A30" s="81"/>
      <c r="B30" s="79" t="str">
        <f>'Anexo 02-A'!B18</f>
        <v>TUTORIA Y ORIENTACION EDUCATIVA</v>
      </c>
      <c r="H30" s="155">
        <f>+'Anexo 02-A'!T18</f>
        <v>10</v>
      </c>
      <c r="I30" s="24" t="s">
        <v>47</v>
      </c>
    </row>
    <row r="31" spans="1:10" s="82" customFormat="1" ht="17.25" customHeight="1" x14ac:dyDescent="0.3">
      <c r="A31" s="81"/>
      <c r="B31" s="79" t="str">
        <f>'Anexo 02-A'!B19</f>
        <v>Horas de libre disponibilidad</v>
      </c>
      <c r="H31" s="155">
        <f>+'Anexo 02-A'!T19</f>
        <v>0</v>
      </c>
      <c r="I31" s="24" t="s">
        <v>47</v>
      </c>
    </row>
    <row r="32" spans="1:10" s="82" customFormat="1" ht="20.25" customHeight="1" thickBot="1" x14ac:dyDescent="0.35">
      <c r="B32" s="84" t="s">
        <v>17</v>
      </c>
      <c r="C32" s="84"/>
      <c r="D32" s="84"/>
      <c r="E32" s="84"/>
      <c r="F32" s="84"/>
      <c r="G32" s="84"/>
      <c r="H32" s="156">
        <f>SUM(H19:H31)</f>
        <v>175</v>
      </c>
      <c r="I32" s="276" t="s">
        <v>48</v>
      </c>
    </row>
    <row r="33" spans="8:8" s="4" customFormat="1" ht="18" customHeight="1" thickTop="1" x14ac:dyDescent="0.2"/>
    <row r="34" spans="8:8" x14ac:dyDescent="0.2">
      <c r="H34" s="85"/>
    </row>
    <row r="35" spans="8:8" x14ac:dyDescent="0.2">
      <c r="H35" s="85"/>
    </row>
    <row r="36" spans="8:8" s="4" customFormat="1" ht="18" customHeight="1" x14ac:dyDescent="0.2"/>
    <row r="37" spans="8:8" s="4" customFormat="1" ht="18" customHeight="1" x14ac:dyDescent="0.2"/>
    <row r="38" spans="8:8" s="4" customFormat="1" ht="18" customHeight="1" x14ac:dyDescent="0.2"/>
    <row r="39" spans="8:8" s="4" customFormat="1" ht="18" customHeight="1" x14ac:dyDescent="0.2"/>
    <row r="40" spans="8:8" s="4" customFormat="1" ht="18" customHeight="1" x14ac:dyDescent="0.2"/>
    <row r="41" spans="8:8" s="4" customFormat="1" ht="18" customHeight="1" x14ac:dyDescent="0.2"/>
    <row r="42" spans="8:8" s="4" customFormat="1" ht="18" customHeight="1" x14ac:dyDescent="0.2"/>
    <row r="43" spans="8:8" s="4" customFormat="1" ht="18" customHeight="1" x14ac:dyDescent="0.2"/>
    <row r="44" spans="8:8" s="4" customFormat="1" ht="18" customHeight="1" x14ac:dyDescent="0.2"/>
    <row r="45" spans="8:8" s="4" customFormat="1" ht="18" customHeight="1" x14ac:dyDescent="0.2"/>
    <row r="56" ht="24.95" customHeight="1" x14ac:dyDescent="0.2"/>
  </sheetData>
  <sheetProtection sheet="1" objects="1" scenarios="1"/>
  <mergeCells count="1">
    <mergeCell ref="A2:I2"/>
  </mergeCells>
  <phoneticPr fontId="0" type="noConversion"/>
  <pageMargins left="0.78740157480314965" right="0.74803149606299213" top="1.8110236220472442" bottom="0.98425196850393704" header="0" footer="0"/>
  <pageSetup paperSize="9" scale="98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36441-F6F1-47AD-AF5C-DC7B78695280}">
  <sheetPr codeName="Hoja8"/>
  <dimension ref="A1:AB10"/>
  <sheetViews>
    <sheetView workbookViewId="0">
      <selection activeCell="A10" sqref="A10"/>
    </sheetView>
  </sheetViews>
  <sheetFormatPr baseColWidth="10" defaultColWidth="11.42578125" defaultRowHeight="12.75" x14ac:dyDescent="0.2"/>
  <cols>
    <col min="1" max="1" width="14.5703125" style="7" customWidth="1"/>
    <col min="2" max="2" width="30.140625" style="7" bestFit="1" customWidth="1"/>
    <col min="3" max="3" width="27" style="7" customWidth="1"/>
    <col min="4" max="4" width="13.7109375" style="7" customWidth="1"/>
    <col min="5" max="5" width="59" style="7" bestFit="1" customWidth="1"/>
    <col min="6" max="6" width="13.7109375" style="7" customWidth="1"/>
    <col min="7" max="7" width="16" style="7" bestFit="1" customWidth="1"/>
    <col min="8" max="8" width="15.28515625" style="7" customWidth="1"/>
    <col min="9" max="9" width="33.140625" style="7" customWidth="1"/>
    <col min="10" max="10" width="21.28515625" style="7" customWidth="1"/>
    <col min="11" max="11" width="15.7109375" style="7" customWidth="1"/>
    <col min="12" max="12" width="8" style="228" bestFit="1" customWidth="1"/>
    <col min="13" max="13" width="13.7109375" style="7" bestFit="1" customWidth="1"/>
    <col min="14" max="14" width="18.140625" style="7" customWidth="1"/>
    <col min="15" max="15" width="82.28515625" style="7" customWidth="1"/>
    <col min="16" max="16" width="45.7109375" style="7" customWidth="1"/>
    <col min="17" max="19" width="19.28515625" style="7" customWidth="1"/>
    <col min="20" max="20" width="33.85546875" style="7" customWidth="1"/>
    <col min="21" max="24" width="11.42578125" style="7"/>
    <col min="25" max="25" width="20.5703125" style="7" customWidth="1"/>
    <col min="26" max="27" width="11.42578125" style="7"/>
    <col min="28" max="28" width="15.28515625" style="7" customWidth="1"/>
    <col min="29" max="16384" width="11.42578125" style="7"/>
  </cols>
  <sheetData>
    <row r="1" spans="1:28" x14ac:dyDescent="0.2">
      <c r="A1" s="228">
        <v>1</v>
      </c>
      <c r="B1" s="228">
        <v>2</v>
      </c>
      <c r="C1" s="228">
        <v>3</v>
      </c>
      <c r="D1" s="228">
        <v>4</v>
      </c>
      <c r="E1" s="228">
        <v>5</v>
      </c>
      <c r="F1" s="228">
        <v>6</v>
      </c>
      <c r="G1" s="228">
        <v>7</v>
      </c>
      <c r="H1" s="228">
        <v>8</v>
      </c>
      <c r="I1" s="228">
        <v>9</v>
      </c>
      <c r="J1" s="228">
        <v>10</v>
      </c>
      <c r="K1" s="228">
        <v>11</v>
      </c>
      <c r="L1" s="228">
        <v>12</v>
      </c>
      <c r="M1" s="228">
        <v>13</v>
      </c>
      <c r="N1" s="228">
        <v>14</v>
      </c>
      <c r="O1" s="228">
        <v>15</v>
      </c>
      <c r="P1" s="228">
        <v>16</v>
      </c>
      <c r="Q1" s="228">
        <v>17</v>
      </c>
      <c r="R1" s="228">
        <v>18</v>
      </c>
      <c r="S1" s="228">
        <v>19</v>
      </c>
      <c r="T1" s="228">
        <v>20</v>
      </c>
      <c r="U1" s="228">
        <v>21</v>
      </c>
      <c r="V1" s="228">
        <v>22</v>
      </c>
      <c r="W1" s="228">
        <v>23</v>
      </c>
      <c r="X1" s="228">
        <v>24</v>
      </c>
      <c r="Y1" s="228">
        <v>25</v>
      </c>
      <c r="Z1" s="228">
        <v>26</v>
      </c>
      <c r="AA1" s="228">
        <v>27</v>
      </c>
      <c r="AB1" s="228">
        <v>28</v>
      </c>
    </row>
    <row r="2" spans="1:28" s="309" customFormat="1" ht="45" x14ac:dyDescent="0.2">
      <c r="A2" s="308" t="s">
        <v>93</v>
      </c>
      <c r="B2" s="308" t="s">
        <v>159</v>
      </c>
      <c r="C2" s="308" t="s">
        <v>138</v>
      </c>
      <c r="D2" s="308" t="s">
        <v>92</v>
      </c>
      <c r="E2" s="308"/>
      <c r="F2" s="308"/>
      <c r="G2" s="308" t="s">
        <v>74</v>
      </c>
      <c r="H2" s="308" t="s">
        <v>94</v>
      </c>
      <c r="I2" s="308" t="s">
        <v>95</v>
      </c>
      <c r="J2" s="308" t="s">
        <v>160</v>
      </c>
      <c r="K2" s="308" t="s">
        <v>96</v>
      </c>
      <c r="L2" s="308" t="s">
        <v>161</v>
      </c>
      <c r="M2" s="308" t="s">
        <v>97</v>
      </c>
      <c r="N2" s="308" t="s">
        <v>98</v>
      </c>
      <c r="O2" s="308" t="s">
        <v>162</v>
      </c>
      <c r="P2" s="308" t="s">
        <v>163</v>
      </c>
      <c r="Q2" s="308" t="s">
        <v>164</v>
      </c>
      <c r="R2" s="308" t="s">
        <v>165</v>
      </c>
      <c r="S2" s="308" t="s">
        <v>166</v>
      </c>
      <c r="T2" s="308" t="s">
        <v>167</v>
      </c>
      <c r="U2" s="308" t="s">
        <v>168</v>
      </c>
      <c r="V2" s="308" t="s">
        <v>169</v>
      </c>
      <c r="W2" s="308" t="s">
        <v>99</v>
      </c>
      <c r="X2" s="308" t="s">
        <v>170</v>
      </c>
      <c r="Y2" s="308" t="s">
        <v>171</v>
      </c>
      <c r="Z2" s="308" t="s">
        <v>172</v>
      </c>
      <c r="AA2" s="308" t="s">
        <v>173</v>
      </c>
      <c r="AB2" s="308" t="s">
        <v>480</v>
      </c>
    </row>
    <row r="3" spans="1:28" s="178" customFormat="1" x14ac:dyDescent="0.2">
      <c r="A3" s="310" t="s">
        <v>305</v>
      </c>
      <c r="B3" s="178" t="s">
        <v>314</v>
      </c>
      <c r="C3" s="178" t="s">
        <v>174</v>
      </c>
      <c r="D3" s="178" t="s">
        <v>140</v>
      </c>
      <c r="E3" s="178" t="str">
        <f t="shared" ref="E3:E10" si="0">G3&amp;I3&amp;L3</f>
        <v>JECMARISCAL RAMON CASTILLA1</v>
      </c>
      <c r="G3" s="178" t="s">
        <v>234</v>
      </c>
      <c r="H3" s="178" t="s">
        <v>176</v>
      </c>
      <c r="I3" s="178" t="s">
        <v>127</v>
      </c>
      <c r="J3" s="178" t="s">
        <v>252</v>
      </c>
      <c r="K3" s="178" t="s">
        <v>103</v>
      </c>
      <c r="L3" s="179">
        <v>1</v>
      </c>
      <c r="M3" s="178" t="s">
        <v>105</v>
      </c>
      <c r="N3" s="178" t="s">
        <v>106</v>
      </c>
      <c r="O3" s="178" t="s">
        <v>253</v>
      </c>
      <c r="P3" s="178" t="str">
        <f>CONCATENATE(Q3," ",R3,", ",S3)</f>
        <v>VENTURA MENDOZA, PIO HERNAN</v>
      </c>
      <c r="Q3" s="178" t="s">
        <v>317</v>
      </c>
      <c r="R3" s="178" t="s">
        <v>218</v>
      </c>
      <c r="S3" s="178" t="s">
        <v>364</v>
      </c>
      <c r="T3" s="179" t="s">
        <v>334</v>
      </c>
      <c r="U3" s="178" t="s">
        <v>181</v>
      </c>
      <c r="V3" s="178" t="s">
        <v>497</v>
      </c>
      <c r="W3" s="178" t="s">
        <v>267</v>
      </c>
      <c r="X3" s="180">
        <v>45352</v>
      </c>
      <c r="Y3" s="300" t="s">
        <v>336</v>
      </c>
      <c r="Z3" s="178" t="s">
        <v>338</v>
      </c>
      <c r="AA3" s="178" t="s">
        <v>184</v>
      </c>
      <c r="AB3" s="352">
        <v>50</v>
      </c>
    </row>
    <row r="4" spans="1:28" s="182" customFormat="1" x14ac:dyDescent="0.2">
      <c r="A4" s="311" t="s">
        <v>306</v>
      </c>
      <c r="B4" s="182" t="s">
        <v>314</v>
      </c>
      <c r="C4" s="182" t="s">
        <v>174</v>
      </c>
      <c r="D4" s="182" t="s">
        <v>140</v>
      </c>
      <c r="E4" s="182" t="str">
        <f t="shared" si="0"/>
        <v>JER-EIBANTONIO RAYMONDI1</v>
      </c>
      <c r="G4" s="182" t="s">
        <v>478</v>
      </c>
      <c r="H4" s="182" t="s">
        <v>176</v>
      </c>
      <c r="I4" s="182" t="s">
        <v>129</v>
      </c>
      <c r="J4" s="182" t="s">
        <v>200</v>
      </c>
      <c r="K4" s="182" t="s">
        <v>103</v>
      </c>
      <c r="L4" s="183">
        <v>1</v>
      </c>
      <c r="M4" s="182" t="s">
        <v>105</v>
      </c>
      <c r="N4" s="182" t="s">
        <v>106</v>
      </c>
      <c r="O4" s="182" t="s">
        <v>201</v>
      </c>
      <c r="P4" s="178" t="str">
        <f t="shared" ref="P4:P10" si="1">CONCATENATE(Q4," ",R4,", ",S4)</f>
        <v>CABANA MAMANI, WENCESLAO QUINTIN</v>
      </c>
      <c r="Q4" s="182" t="s">
        <v>202</v>
      </c>
      <c r="R4" s="182" t="s">
        <v>198</v>
      </c>
      <c r="S4" s="182" t="s">
        <v>203</v>
      </c>
      <c r="T4" s="183" t="s">
        <v>331</v>
      </c>
      <c r="U4" s="182" t="s">
        <v>181</v>
      </c>
      <c r="V4" s="182" t="s">
        <v>335</v>
      </c>
      <c r="W4" s="182" t="s">
        <v>204</v>
      </c>
      <c r="X4" s="184">
        <v>44986</v>
      </c>
      <c r="Y4" s="301">
        <v>44985</v>
      </c>
      <c r="Z4" s="182" t="s">
        <v>188</v>
      </c>
      <c r="AA4" s="182" t="s">
        <v>184</v>
      </c>
      <c r="AB4" s="353">
        <v>25</v>
      </c>
    </row>
    <row r="5" spans="1:28" s="186" customFormat="1" x14ac:dyDescent="0.2">
      <c r="A5" s="312" t="s">
        <v>307</v>
      </c>
      <c r="B5" s="186" t="s">
        <v>314</v>
      </c>
      <c r="C5" s="186" t="s">
        <v>174</v>
      </c>
      <c r="D5" s="186" t="s">
        <v>140</v>
      </c>
      <c r="E5" s="186" t="str">
        <f t="shared" si="0"/>
        <v>JER-EIBTECNICO AGROPECUARIO CESAR VIZCARRA VARGAS1</v>
      </c>
      <c r="G5" s="186" t="s">
        <v>478</v>
      </c>
      <c r="H5" s="186" t="s">
        <v>176</v>
      </c>
      <c r="I5" s="186" t="s">
        <v>128</v>
      </c>
      <c r="J5" s="186" t="s">
        <v>272</v>
      </c>
      <c r="K5" s="186" t="s">
        <v>103</v>
      </c>
      <c r="L5" s="187">
        <v>1</v>
      </c>
      <c r="M5" s="186" t="s">
        <v>105</v>
      </c>
      <c r="N5" s="186" t="s">
        <v>104</v>
      </c>
      <c r="O5" s="186" t="s">
        <v>271</v>
      </c>
      <c r="P5" s="178" t="str">
        <f t="shared" si="1"/>
        <v>CARI VENTURA, MATEO EDGAR</v>
      </c>
      <c r="Q5" s="186" t="s">
        <v>316</v>
      </c>
      <c r="R5" s="186" t="s">
        <v>317</v>
      </c>
      <c r="S5" s="186" t="s">
        <v>318</v>
      </c>
      <c r="T5" s="187" t="s">
        <v>330</v>
      </c>
      <c r="U5" s="186" t="s">
        <v>181</v>
      </c>
      <c r="V5" s="186" t="s">
        <v>187</v>
      </c>
      <c r="W5" s="186" t="s">
        <v>256</v>
      </c>
      <c r="X5" s="188">
        <v>45383</v>
      </c>
      <c r="Y5" s="302" t="s">
        <v>336</v>
      </c>
      <c r="Z5" s="186" t="s">
        <v>188</v>
      </c>
      <c r="AA5" s="186" t="s">
        <v>184</v>
      </c>
      <c r="AB5" s="354">
        <v>12</v>
      </c>
    </row>
    <row r="6" spans="1:28" s="189" customFormat="1" x14ac:dyDescent="0.2">
      <c r="A6" s="313" t="s">
        <v>308</v>
      </c>
      <c r="B6" s="189" t="s">
        <v>314</v>
      </c>
      <c r="C6" s="189" t="s">
        <v>174</v>
      </c>
      <c r="D6" s="189" t="s">
        <v>140</v>
      </c>
      <c r="E6" s="189" t="str">
        <f t="shared" si="0"/>
        <v>JER-EIBESTATAL DE TOLAPALCA1</v>
      </c>
      <c r="G6" s="189" t="s">
        <v>478</v>
      </c>
      <c r="H6" s="189" t="s">
        <v>176</v>
      </c>
      <c r="I6" s="189" t="s">
        <v>126</v>
      </c>
      <c r="J6" s="189" t="s">
        <v>237</v>
      </c>
      <c r="K6" s="189" t="s">
        <v>103</v>
      </c>
      <c r="L6" s="190">
        <v>1</v>
      </c>
      <c r="M6" s="189" t="s">
        <v>105</v>
      </c>
      <c r="N6" s="189" t="s">
        <v>104</v>
      </c>
      <c r="O6" s="189" t="s">
        <v>315</v>
      </c>
      <c r="P6" s="178" t="str">
        <f t="shared" si="1"/>
        <v>CACERES CHAMBILLA, ANGEL</v>
      </c>
      <c r="Q6" s="189" t="s">
        <v>322</v>
      </c>
      <c r="R6" s="189" t="s">
        <v>212</v>
      </c>
      <c r="S6" s="189" t="s">
        <v>323</v>
      </c>
      <c r="T6" s="190" t="s">
        <v>333</v>
      </c>
      <c r="U6" s="189" t="s">
        <v>181</v>
      </c>
      <c r="V6" s="189" t="s">
        <v>187</v>
      </c>
      <c r="W6" s="189" t="s">
        <v>213</v>
      </c>
      <c r="X6" s="191">
        <v>45383</v>
      </c>
      <c r="Y6" s="303" t="s">
        <v>336</v>
      </c>
      <c r="Z6" s="189" t="s">
        <v>188</v>
      </c>
      <c r="AA6" s="189" t="s">
        <v>184</v>
      </c>
      <c r="AB6" s="355">
        <v>62</v>
      </c>
    </row>
    <row r="7" spans="1:28" s="193" customFormat="1" x14ac:dyDescent="0.2">
      <c r="A7" s="314" t="s">
        <v>309</v>
      </c>
      <c r="B7" s="193" t="s">
        <v>314</v>
      </c>
      <c r="C7" s="193" t="s">
        <v>174</v>
      </c>
      <c r="D7" s="193" t="s">
        <v>140</v>
      </c>
      <c r="E7" s="193" t="str">
        <f t="shared" si="0"/>
        <v>JER-EIBCORONEL ALFONSO UGARTE1</v>
      </c>
      <c r="G7" s="193" t="s">
        <v>478</v>
      </c>
      <c r="H7" s="193" t="s">
        <v>176</v>
      </c>
      <c r="I7" s="193" t="s">
        <v>131</v>
      </c>
      <c r="J7" s="193" t="s">
        <v>227</v>
      </c>
      <c r="K7" s="193" t="s">
        <v>103</v>
      </c>
      <c r="L7" s="194">
        <v>1</v>
      </c>
      <c r="M7" s="193" t="s">
        <v>105</v>
      </c>
      <c r="N7" s="193" t="s">
        <v>104</v>
      </c>
      <c r="O7" s="193" t="s">
        <v>228</v>
      </c>
      <c r="P7" s="178" t="str">
        <f t="shared" si="1"/>
        <v>MAMANI COAYLA, EDGAR OSCAR</v>
      </c>
      <c r="Q7" s="193" t="s">
        <v>198</v>
      </c>
      <c r="R7" s="193" t="s">
        <v>371</v>
      </c>
      <c r="S7" s="193" t="s">
        <v>372</v>
      </c>
      <c r="T7" s="194" t="s">
        <v>333</v>
      </c>
      <c r="U7" s="193" t="s">
        <v>181</v>
      </c>
      <c r="V7" s="193" t="s">
        <v>187</v>
      </c>
      <c r="W7" s="193" t="s">
        <v>207</v>
      </c>
      <c r="X7" s="195">
        <v>45387</v>
      </c>
      <c r="Y7" s="304" t="s">
        <v>336</v>
      </c>
      <c r="Z7" s="193" t="s">
        <v>188</v>
      </c>
      <c r="AA7" s="193" t="s">
        <v>184</v>
      </c>
      <c r="AB7" s="356">
        <v>10</v>
      </c>
    </row>
    <row r="8" spans="1:28" s="197" customFormat="1" x14ac:dyDescent="0.2">
      <c r="A8" s="315" t="s">
        <v>310</v>
      </c>
      <c r="B8" s="197" t="s">
        <v>314</v>
      </c>
      <c r="C8" s="197" t="s">
        <v>174</v>
      </c>
      <c r="D8" s="197" t="s">
        <v>140</v>
      </c>
      <c r="E8" s="197" t="str">
        <f t="shared" si="0"/>
        <v>JER-EIBSAN IGNACIO DE LOYOLA1</v>
      </c>
      <c r="G8" s="197" t="s">
        <v>478</v>
      </c>
      <c r="H8" s="197" t="s">
        <v>176</v>
      </c>
      <c r="I8" s="197" t="s">
        <v>130</v>
      </c>
      <c r="J8" s="197" t="s">
        <v>313</v>
      </c>
      <c r="K8" s="197" t="s">
        <v>103</v>
      </c>
      <c r="L8" s="198">
        <v>1</v>
      </c>
      <c r="M8" s="197" t="s">
        <v>105</v>
      </c>
      <c r="N8" s="197" t="s">
        <v>104</v>
      </c>
      <c r="O8" s="197" t="s">
        <v>494</v>
      </c>
      <c r="P8" s="178" t="str">
        <f t="shared" si="1"/>
        <v>CHURA LIMACHI, MARITZA</v>
      </c>
      <c r="Q8" s="197" t="s">
        <v>324</v>
      </c>
      <c r="R8" s="197" t="s">
        <v>495</v>
      </c>
      <c r="S8" s="197" t="s">
        <v>496</v>
      </c>
      <c r="T8" s="198" t="s">
        <v>331</v>
      </c>
      <c r="U8" s="197" t="s">
        <v>181</v>
      </c>
      <c r="V8" s="197" t="s">
        <v>187</v>
      </c>
      <c r="W8" s="197" t="s">
        <v>498</v>
      </c>
      <c r="X8" s="199">
        <v>45387</v>
      </c>
      <c r="Y8" s="305" t="s">
        <v>337</v>
      </c>
      <c r="Z8" s="197" t="s">
        <v>188</v>
      </c>
      <c r="AA8" s="197" t="s">
        <v>184</v>
      </c>
      <c r="AB8" s="357">
        <v>35</v>
      </c>
    </row>
    <row r="9" spans="1:28" s="201" customFormat="1" x14ac:dyDescent="0.2">
      <c r="A9" s="316" t="s">
        <v>311</v>
      </c>
      <c r="B9" s="201" t="s">
        <v>314</v>
      </c>
      <c r="C9" s="201" t="s">
        <v>174</v>
      </c>
      <c r="D9" s="201" t="s">
        <v>140</v>
      </c>
      <c r="E9" s="201" t="str">
        <f t="shared" si="0"/>
        <v>JERTECNICO AGROPECUARIO CHARAMAYA1</v>
      </c>
      <c r="G9" s="201" t="s">
        <v>175</v>
      </c>
      <c r="H9" s="201" t="s">
        <v>176</v>
      </c>
      <c r="I9" s="201" t="s">
        <v>132</v>
      </c>
      <c r="J9" s="201" t="s">
        <v>286</v>
      </c>
      <c r="K9" s="201" t="s">
        <v>103</v>
      </c>
      <c r="L9" s="202">
        <v>1</v>
      </c>
      <c r="M9" s="201" t="s">
        <v>105</v>
      </c>
      <c r="N9" s="201" t="s">
        <v>106</v>
      </c>
      <c r="O9" s="201" t="s">
        <v>271</v>
      </c>
      <c r="P9" s="178" t="str">
        <f t="shared" si="1"/>
        <v>TANTANI CHOQUE, PEDRO MIGUEL</v>
      </c>
      <c r="Q9" s="201" t="s">
        <v>422</v>
      </c>
      <c r="R9" s="201" t="s">
        <v>360</v>
      </c>
      <c r="S9" s="201" t="s">
        <v>423</v>
      </c>
      <c r="T9" s="202" t="s">
        <v>330</v>
      </c>
      <c r="U9" s="201" t="s">
        <v>181</v>
      </c>
      <c r="V9" s="201" t="s">
        <v>497</v>
      </c>
      <c r="W9" s="201" t="s">
        <v>429</v>
      </c>
      <c r="X9" s="203">
        <v>45352</v>
      </c>
      <c r="Y9" s="306" t="s">
        <v>336</v>
      </c>
      <c r="Z9" s="201" t="s">
        <v>188</v>
      </c>
      <c r="AA9" s="201" t="s">
        <v>184</v>
      </c>
      <c r="AB9" s="358">
        <v>36</v>
      </c>
    </row>
    <row r="10" spans="1:28" s="205" customFormat="1" x14ac:dyDescent="0.2">
      <c r="A10" s="317" t="s">
        <v>312</v>
      </c>
      <c r="B10" s="205" t="s">
        <v>314</v>
      </c>
      <c r="C10" s="205" t="s">
        <v>174</v>
      </c>
      <c r="D10" s="205" t="s">
        <v>140</v>
      </c>
      <c r="E10" s="205" t="str">
        <f t="shared" si="0"/>
        <v>JER-EIBFERNANDO BELAUNDE TERRY1</v>
      </c>
      <c r="G10" s="205" t="s">
        <v>478</v>
      </c>
      <c r="H10" s="205" t="s">
        <v>176</v>
      </c>
      <c r="I10" s="205" t="s">
        <v>125</v>
      </c>
      <c r="J10" s="205" t="s">
        <v>248</v>
      </c>
      <c r="K10" s="205" t="s">
        <v>103</v>
      </c>
      <c r="L10" s="206">
        <v>1</v>
      </c>
      <c r="M10" s="205" t="s">
        <v>105</v>
      </c>
      <c r="N10" s="205" t="s">
        <v>104</v>
      </c>
      <c r="O10" s="205" t="s">
        <v>201</v>
      </c>
      <c r="P10" s="178" t="str">
        <f t="shared" si="1"/>
        <v>CHURA CCAMA, JULIO</v>
      </c>
      <c r="Q10" s="205" t="s">
        <v>324</v>
      </c>
      <c r="R10" s="205" t="s">
        <v>325</v>
      </c>
      <c r="S10" s="205" t="s">
        <v>326</v>
      </c>
      <c r="T10" s="206" t="s">
        <v>334</v>
      </c>
      <c r="U10" s="205" t="s">
        <v>181</v>
      </c>
      <c r="V10" s="205" t="s">
        <v>187</v>
      </c>
      <c r="W10" s="205" t="s">
        <v>270</v>
      </c>
      <c r="X10" s="207">
        <v>45383</v>
      </c>
      <c r="Y10" s="307" t="s">
        <v>336</v>
      </c>
      <c r="Z10" s="205" t="s">
        <v>188</v>
      </c>
      <c r="AA10" s="205" t="s">
        <v>184</v>
      </c>
      <c r="AB10" s="359">
        <v>37</v>
      </c>
    </row>
  </sheetData>
  <autoFilter ref="B2:AA10" xr:uid="{47C61F62-8DBE-4822-B51A-C3C11C5E80E9}">
    <sortState xmlns:xlrd2="http://schemas.microsoft.com/office/spreadsheetml/2017/richdata2" ref="B3:Y507">
      <sortCondition ref="I2:I507"/>
    </sortState>
  </autoFilter>
  <pageMargins left="0.7" right="0.7" top="0.75" bottom="0.75" header="0.3" footer="0.3"/>
  <headerFooter alignWithMargins="0"/>
  <ignoredErrors>
    <ignoredError sqref="A4:A1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37D8E-B3FD-47C7-875D-DC7E7C3539FB}">
  <sheetPr codeName="Hoja9"/>
  <dimension ref="A1:AB55"/>
  <sheetViews>
    <sheetView workbookViewId="0">
      <selection activeCell="C50" sqref="C50"/>
    </sheetView>
  </sheetViews>
  <sheetFormatPr baseColWidth="10" defaultColWidth="11.42578125" defaultRowHeight="12.75" x14ac:dyDescent="0.2"/>
  <cols>
    <col min="1" max="1" width="11.140625" style="7" customWidth="1"/>
    <col min="2" max="2" width="47.42578125" style="7" customWidth="1"/>
    <col min="3" max="3" width="56.85546875" style="7" customWidth="1"/>
    <col min="4" max="4" width="11.42578125" style="7"/>
    <col min="5" max="5" width="10.42578125" style="228" customWidth="1"/>
    <col min="6" max="6" width="28.28515625" style="7" customWidth="1"/>
    <col min="7" max="7" width="27" style="7" customWidth="1"/>
    <col min="8" max="8" width="13.7109375" style="7" customWidth="1"/>
    <col min="9" max="9" width="25.7109375" style="7" customWidth="1"/>
    <col min="10" max="10" width="21.28515625" style="7" customWidth="1"/>
    <col min="11" max="11" width="13.85546875" style="7" customWidth="1"/>
    <col min="12" max="12" width="52.7109375" style="7" customWidth="1"/>
    <col min="13" max="13" width="17.28515625" style="7" customWidth="1"/>
    <col min="14" max="14" width="25.85546875" style="7" bestFit="1" customWidth="1"/>
    <col min="15" max="15" width="82.28515625" style="7" customWidth="1"/>
    <col min="16" max="16" width="45.7109375" style="7" customWidth="1"/>
    <col min="17" max="17" width="11.140625" style="7" customWidth="1"/>
    <col min="18" max="20" width="19.28515625" style="7" customWidth="1"/>
    <col min="21" max="21" width="33.85546875" style="228" customWidth="1"/>
    <col min="22" max="23" width="11.42578125" style="7"/>
    <col min="24" max="24" width="29.28515625" style="7" customWidth="1"/>
    <col min="25" max="25" width="11.42578125" style="7"/>
    <col min="26" max="26" width="20.5703125" style="7" customWidth="1"/>
    <col min="27" max="16384" width="11.42578125" style="7"/>
  </cols>
  <sheetData>
    <row r="1" spans="1:28" x14ac:dyDescent="0.2">
      <c r="A1" s="7">
        <v>1</v>
      </c>
      <c r="B1" s="7">
        <v>2</v>
      </c>
      <c r="C1" s="7">
        <v>3</v>
      </c>
      <c r="D1" s="7">
        <v>4</v>
      </c>
      <c r="E1" s="7">
        <v>5</v>
      </c>
      <c r="F1" s="7">
        <v>6</v>
      </c>
      <c r="G1" s="7">
        <v>7</v>
      </c>
      <c r="H1" s="7">
        <v>8</v>
      </c>
      <c r="I1" s="7">
        <v>9</v>
      </c>
      <c r="J1" s="7">
        <v>10</v>
      </c>
      <c r="K1" s="7">
        <v>11</v>
      </c>
      <c r="L1" s="7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18</v>
      </c>
      <c r="T1" s="7">
        <v>19</v>
      </c>
      <c r="U1" s="228">
        <v>20</v>
      </c>
      <c r="V1" s="7">
        <v>21</v>
      </c>
      <c r="W1" s="7">
        <v>22</v>
      </c>
      <c r="X1" s="7">
        <v>23</v>
      </c>
      <c r="Y1" s="7">
        <v>24</v>
      </c>
      <c r="Z1" s="7">
        <v>25</v>
      </c>
      <c r="AA1" s="7">
        <v>26</v>
      </c>
      <c r="AB1" s="7">
        <v>27</v>
      </c>
    </row>
    <row r="2" spans="1:28" ht="15" x14ac:dyDescent="0.25">
      <c r="A2" s="6" t="s">
        <v>93</v>
      </c>
      <c r="B2" s="6"/>
      <c r="C2" s="6" t="s">
        <v>95</v>
      </c>
      <c r="D2" s="6" t="s">
        <v>74</v>
      </c>
      <c r="E2" s="176" t="s">
        <v>161</v>
      </c>
      <c r="F2" s="6" t="s">
        <v>159</v>
      </c>
      <c r="G2" s="6" t="s">
        <v>138</v>
      </c>
      <c r="H2" s="6" t="s">
        <v>92</v>
      </c>
      <c r="I2" s="6" t="s">
        <v>94</v>
      </c>
      <c r="J2" s="6" t="s">
        <v>160</v>
      </c>
      <c r="K2" s="6" t="s">
        <v>96</v>
      </c>
      <c r="L2" s="6"/>
      <c r="M2" s="6" t="s">
        <v>97</v>
      </c>
      <c r="N2" s="6" t="s">
        <v>98</v>
      </c>
      <c r="O2" s="6" t="s">
        <v>162</v>
      </c>
      <c r="P2" s="6" t="s">
        <v>163</v>
      </c>
      <c r="Q2" s="6" t="s">
        <v>93</v>
      </c>
      <c r="R2" s="6" t="s">
        <v>165</v>
      </c>
      <c r="S2" s="6" t="s">
        <v>165</v>
      </c>
      <c r="T2" s="6" t="s">
        <v>166</v>
      </c>
      <c r="U2" s="176" t="s">
        <v>167</v>
      </c>
      <c r="V2" s="6" t="s">
        <v>168</v>
      </c>
      <c r="W2" s="6" t="s">
        <v>169</v>
      </c>
      <c r="X2" s="6" t="s">
        <v>99</v>
      </c>
      <c r="Y2" s="6" t="s">
        <v>170</v>
      </c>
      <c r="Z2" s="6" t="s">
        <v>171</v>
      </c>
      <c r="AA2" s="6" t="s">
        <v>172</v>
      </c>
      <c r="AB2" s="6" t="s">
        <v>173</v>
      </c>
    </row>
    <row r="3" spans="1:28" s="178" customFormat="1" x14ac:dyDescent="0.2">
      <c r="A3" s="177">
        <v>591099</v>
      </c>
      <c r="B3" s="178" t="str">
        <f t="shared" ref="B3:B19" si="0">C3&amp;D3&amp;E3</f>
        <v>MARISCAL RAMON CASTILLAJEC1</v>
      </c>
      <c r="C3" s="178" t="s">
        <v>127</v>
      </c>
      <c r="D3" s="178" t="s">
        <v>234</v>
      </c>
      <c r="E3" s="179">
        <v>1</v>
      </c>
      <c r="F3" s="178" t="s">
        <v>314</v>
      </c>
      <c r="G3" s="178" t="s">
        <v>174</v>
      </c>
      <c r="H3" s="178" t="s">
        <v>140</v>
      </c>
      <c r="I3" s="178" t="s">
        <v>176</v>
      </c>
      <c r="J3" s="178" t="s">
        <v>252</v>
      </c>
      <c r="K3" s="178" t="s">
        <v>103</v>
      </c>
      <c r="L3" s="178" t="str">
        <f t="shared" ref="L3:L19" si="1">M3&amp;": "&amp;P3</f>
        <v>DIRECTOR I.E.: CARI VENTURA, MATEO EDGAR</v>
      </c>
      <c r="M3" s="178" t="s">
        <v>105</v>
      </c>
      <c r="N3" s="178" t="s">
        <v>104</v>
      </c>
      <c r="O3" s="178" t="s">
        <v>253</v>
      </c>
      <c r="P3" s="178" t="str">
        <f>CONCATENATE(R3," ",S3,", ",T3)</f>
        <v>CARI VENTURA, MATEO EDGAR</v>
      </c>
      <c r="Q3" s="350" t="s">
        <v>305</v>
      </c>
      <c r="R3" s="178" t="s">
        <v>316</v>
      </c>
      <c r="S3" s="178" t="s">
        <v>317</v>
      </c>
      <c r="T3" s="178" t="s">
        <v>318</v>
      </c>
      <c r="U3" s="179" t="s">
        <v>330</v>
      </c>
      <c r="V3" s="178" t="s">
        <v>181</v>
      </c>
      <c r="W3" s="178" t="s">
        <v>187</v>
      </c>
      <c r="X3" s="370">
        <v>1029257760</v>
      </c>
      <c r="Y3" s="180">
        <v>44927</v>
      </c>
      <c r="Z3" s="180">
        <v>45291</v>
      </c>
      <c r="AA3" s="178" t="s">
        <v>188</v>
      </c>
      <c r="AB3" s="178" t="s">
        <v>184</v>
      </c>
    </row>
    <row r="4" spans="1:28" s="178" customFormat="1" x14ac:dyDescent="0.2">
      <c r="A4" s="177">
        <v>591099</v>
      </c>
      <c r="B4" s="178" t="str">
        <f t="shared" si="0"/>
        <v>MARISCAL RAMON CASTILLAJEC2</v>
      </c>
      <c r="C4" s="178" t="s">
        <v>127</v>
      </c>
      <c r="D4" s="178" t="s">
        <v>234</v>
      </c>
      <c r="E4" s="179">
        <v>2</v>
      </c>
      <c r="F4" s="178" t="s">
        <v>314</v>
      </c>
      <c r="G4" s="178" t="s">
        <v>174</v>
      </c>
      <c r="H4" s="178" t="s">
        <v>140</v>
      </c>
      <c r="I4" s="178" t="s">
        <v>176</v>
      </c>
      <c r="J4" s="178" t="s">
        <v>258</v>
      </c>
      <c r="K4" s="178" t="s">
        <v>100</v>
      </c>
      <c r="L4" s="178" t="str">
        <f t="shared" si="1"/>
        <v>PROFESOR: QUISPE PEÑALOZA, DELTA FANNI</v>
      </c>
      <c r="M4" s="178" t="s">
        <v>101</v>
      </c>
      <c r="N4" s="178" t="s">
        <v>190</v>
      </c>
      <c r="O4" s="178" t="s">
        <v>348</v>
      </c>
      <c r="P4" s="178" t="str">
        <f t="shared" ref="P4:P55" si="2">CONCATENATE(R4," ",S4,", ",T4)</f>
        <v>QUISPE PEÑALOZA, DELTA FANNI</v>
      </c>
      <c r="Q4" s="350" t="s">
        <v>305</v>
      </c>
      <c r="R4" s="178" t="s">
        <v>352</v>
      </c>
      <c r="S4" s="178" t="s">
        <v>353</v>
      </c>
      <c r="T4" s="178" t="s">
        <v>354</v>
      </c>
      <c r="U4" s="179" t="s">
        <v>331</v>
      </c>
      <c r="V4" s="178" t="s">
        <v>186</v>
      </c>
      <c r="W4" s="178" t="s">
        <v>187</v>
      </c>
      <c r="X4" s="371" t="s">
        <v>366</v>
      </c>
      <c r="Y4" s="180">
        <v>45042</v>
      </c>
      <c r="Z4" s="180">
        <v>45291</v>
      </c>
      <c r="AA4" s="178" t="s">
        <v>188</v>
      </c>
      <c r="AB4" s="178" t="s">
        <v>193</v>
      </c>
    </row>
    <row r="5" spans="1:28" s="178" customFormat="1" x14ac:dyDescent="0.2">
      <c r="A5" s="177">
        <v>591099</v>
      </c>
      <c r="B5" s="178" t="str">
        <f t="shared" si="0"/>
        <v>MARISCAL RAMON CASTILLAJEC3</v>
      </c>
      <c r="C5" s="178" t="s">
        <v>127</v>
      </c>
      <c r="D5" s="178" t="s">
        <v>234</v>
      </c>
      <c r="E5" s="179">
        <v>3</v>
      </c>
      <c r="F5" s="178" t="s">
        <v>314</v>
      </c>
      <c r="G5" s="178" t="s">
        <v>174</v>
      </c>
      <c r="H5" s="178" t="s">
        <v>140</v>
      </c>
      <c r="I5" s="178" t="s">
        <v>176</v>
      </c>
      <c r="J5" s="178" t="s">
        <v>259</v>
      </c>
      <c r="K5" s="178" t="s">
        <v>100</v>
      </c>
      <c r="L5" s="178" t="str">
        <f t="shared" si="1"/>
        <v>PROFESOR: LAURA MAQUERA, ROXANA ELIZABETH</v>
      </c>
      <c r="M5" s="178" t="s">
        <v>101</v>
      </c>
      <c r="N5" s="178" t="s">
        <v>102</v>
      </c>
      <c r="O5" s="178" t="s">
        <v>260</v>
      </c>
      <c r="P5" s="178" t="str">
        <f t="shared" si="2"/>
        <v>LAURA MAQUERA, ROXANA ELIZABETH</v>
      </c>
      <c r="Q5" s="350" t="s">
        <v>305</v>
      </c>
      <c r="R5" s="178" t="s">
        <v>355</v>
      </c>
      <c r="S5" s="178" t="s">
        <v>356</v>
      </c>
      <c r="T5" s="178" t="s">
        <v>357</v>
      </c>
      <c r="U5" s="179" t="s">
        <v>333</v>
      </c>
      <c r="V5" s="178" t="s">
        <v>186</v>
      </c>
      <c r="W5" s="178" t="s">
        <v>187</v>
      </c>
      <c r="X5" s="371" t="s">
        <v>261</v>
      </c>
      <c r="Y5" s="180"/>
      <c r="Z5" s="180"/>
      <c r="AA5" s="178" t="s">
        <v>188</v>
      </c>
      <c r="AB5" s="178" t="s">
        <v>184</v>
      </c>
    </row>
    <row r="6" spans="1:28" s="178" customFormat="1" x14ac:dyDescent="0.2">
      <c r="A6" s="177">
        <v>591099</v>
      </c>
      <c r="B6" s="178" t="str">
        <f t="shared" si="0"/>
        <v>MARISCAL RAMON CASTILLAJEC4</v>
      </c>
      <c r="C6" s="178" t="s">
        <v>127</v>
      </c>
      <c r="D6" s="178" t="s">
        <v>234</v>
      </c>
      <c r="E6" s="179">
        <v>4</v>
      </c>
      <c r="F6" s="178" t="s">
        <v>314</v>
      </c>
      <c r="G6" s="178" t="s">
        <v>174</v>
      </c>
      <c r="H6" s="178" t="s">
        <v>140</v>
      </c>
      <c r="I6" s="178" t="s">
        <v>176</v>
      </c>
      <c r="J6" s="178" t="s">
        <v>254</v>
      </c>
      <c r="K6" s="178" t="s">
        <v>100</v>
      </c>
      <c r="L6" s="178" t="str">
        <f t="shared" si="1"/>
        <v>PROFESOR: VENTURA SANTOS, EUSEBIO</v>
      </c>
      <c r="M6" s="178" t="s">
        <v>101</v>
      </c>
      <c r="N6" s="178" t="s">
        <v>190</v>
      </c>
      <c r="O6" s="178" t="s">
        <v>349</v>
      </c>
      <c r="P6" s="178" t="str">
        <f t="shared" si="2"/>
        <v>VENTURA SANTOS, EUSEBIO</v>
      </c>
      <c r="Q6" s="350" t="s">
        <v>305</v>
      </c>
      <c r="R6" s="178" t="s">
        <v>317</v>
      </c>
      <c r="S6" s="178" t="s">
        <v>180</v>
      </c>
      <c r="T6" s="178" t="s">
        <v>358</v>
      </c>
      <c r="U6" s="179" t="s">
        <v>331</v>
      </c>
      <c r="V6" s="178" t="s">
        <v>186</v>
      </c>
      <c r="W6" s="178" t="s">
        <v>187</v>
      </c>
      <c r="X6" s="371" t="s">
        <v>367</v>
      </c>
      <c r="Y6" s="180">
        <v>44986</v>
      </c>
      <c r="Z6" s="180">
        <v>45291</v>
      </c>
      <c r="AA6" s="178" t="s">
        <v>188</v>
      </c>
      <c r="AB6" s="178" t="s">
        <v>184</v>
      </c>
    </row>
    <row r="7" spans="1:28" s="178" customFormat="1" x14ac:dyDescent="0.2">
      <c r="A7" s="177">
        <v>591099</v>
      </c>
      <c r="B7" s="178" t="str">
        <f t="shared" si="0"/>
        <v>MARISCAL RAMON CASTILLAJEC5</v>
      </c>
      <c r="C7" s="178" t="s">
        <v>127</v>
      </c>
      <c r="D7" s="178" t="s">
        <v>234</v>
      </c>
      <c r="E7" s="179">
        <v>5</v>
      </c>
      <c r="F7" s="178" t="s">
        <v>314</v>
      </c>
      <c r="G7" s="178" t="s">
        <v>174</v>
      </c>
      <c r="H7" s="178" t="s">
        <v>140</v>
      </c>
      <c r="I7" s="178" t="s">
        <v>176</v>
      </c>
      <c r="J7" s="178" t="s">
        <v>268</v>
      </c>
      <c r="K7" s="178" t="s">
        <v>100</v>
      </c>
      <c r="L7" s="178" t="str">
        <f t="shared" si="1"/>
        <v>PROFESOR: CHURA CCAMA, JULIO</v>
      </c>
      <c r="M7" s="178" t="s">
        <v>101</v>
      </c>
      <c r="N7" s="178" t="s">
        <v>102</v>
      </c>
      <c r="O7" s="178" t="s">
        <v>269</v>
      </c>
      <c r="P7" s="178" t="str">
        <f t="shared" si="2"/>
        <v>CHURA CCAMA, JULIO</v>
      </c>
      <c r="Q7" s="350" t="s">
        <v>305</v>
      </c>
      <c r="R7" s="178" t="s">
        <v>324</v>
      </c>
      <c r="S7" s="178" t="s">
        <v>325</v>
      </c>
      <c r="T7" s="178" t="s">
        <v>326</v>
      </c>
      <c r="U7" s="179" t="s">
        <v>334</v>
      </c>
      <c r="V7" s="178" t="s">
        <v>186</v>
      </c>
      <c r="W7" s="178" t="s">
        <v>223</v>
      </c>
      <c r="X7" s="371" t="s">
        <v>270</v>
      </c>
      <c r="Y7" s="180">
        <v>44936</v>
      </c>
      <c r="Z7" s="180">
        <v>45291</v>
      </c>
      <c r="AA7" s="178" t="s">
        <v>188</v>
      </c>
      <c r="AB7" s="178" t="s">
        <v>193</v>
      </c>
    </row>
    <row r="8" spans="1:28" s="178" customFormat="1" x14ac:dyDescent="0.2">
      <c r="A8" s="177">
        <v>591099</v>
      </c>
      <c r="B8" s="178" t="str">
        <f t="shared" si="0"/>
        <v>MARISCAL RAMON CASTILLAJEC6</v>
      </c>
      <c r="C8" s="178" t="s">
        <v>127</v>
      </c>
      <c r="D8" s="178" t="s">
        <v>234</v>
      </c>
      <c r="E8" s="179">
        <v>6</v>
      </c>
      <c r="F8" s="178" t="s">
        <v>314</v>
      </c>
      <c r="G8" s="178" t="s">
        <v>174</v>
      </c>
      <c r="H8" s="178" t="s">
        <v>140</v>
      </c>
      <c r="I8" s="178" t="s">
        <v>176</v>
      </c>
      <c r="J8" s="178" t="s">
        <v>255</v>
      </c>
      <c r="K8" s="178" t="s">
        <v>100</v>
      </c>
      <c r="L8" s="178" t="str">
        <f t="shared" si="1"/>
        <v>PROFESOR: CARI VENTURA, MATEO EDGAR</v>
      </c>
      <c r="M8" s="178" t="s">
        <v>101</v>
      </c>
      <c r="N8" s="178" t="s">
        <v>102</v>
      </c>
      <c r="O8" s="178" t="s">
        <v>199</v>
      </c>
      <c r="P8" s="178" t="str">
        <f t="shared" si="2"/>
        <v>CARI VENTURA, MATEO EDGAR</v>
      </c>
      <c r="Q8" s="350" t="s">
        <v>305</v>
      </c>
      <c r="R8" s="178" t="s">
        <v>316</v>
      </c>
      <c r="S8" s="178" t="s">
        <v>317</v>
      </c>
      <c r="T8" s="178" t="s">
        <v>318</v>
      </c>
      <c r="U8" s="179" t="s">
        <v>330</v>
      </c>
      <c r="V8" s="178" t="s">
        <v>186</v>
      </c>
      <c r="W8" s="178" t="s">
        <v>223</v>
      </c>
      <c r="X8" s="371" t="s">
        <v>256</v>
      </c>
      <c r="Y8" s="178">
        <v>44927</v>
      </c>
      <c r="Z8" s="178">
        <v>45291</v>
      </c>
      <c r="AA8" s="178" t="s">
        <v>188</v>
      </c>
      <c r="AB8" s="178" t="s">
        <v>184</v>
      </c>
    </row>
    <row r="9" spans="1:28" s="178" customFormat="1" x14ac:dyDescent="0.2">
      <c r="A9" s="177">
        <v>591099</v>
      </c>
      <c r="B9" s="178" t="str">
        <f t="shared" si="0"/>
        <v>MARISCAL RAMON CASTILLAJEC7</v>
      </c>
      <c r="C9" s="178" t="s">
        <v>127</v>
      </c>
      <c r="D9" s="178" t="s">
        <v>234</v>
      </c>
      <c r="E9" s="179">
        <v>7</v>
      </c>
      <c r="F9" s="178" t="s">
        <v>314</v>
      </c>
      <c r="G9" s="178" t="s">
        <v>174</v>
      </c>
      <c r="H9" s="178" t="s">
        <v>140</v>
      </c>
      <c r="I9" s="178" t="s">
        <v>176</v>
      </c>
      <c r="J9" s="178" t="s">
        <v>262</v>
      </c>
      <c r="K9" s="178" t="s">
        <v>100</v>
      </c>
      <c r="L9" s="178" t="str">
        <f t="shared" si="1"/>
        <v>PROFESOR: QUENTA CHOQUE, JULIO CESAR</v>
      </c>
      <c r="M9" s="178" t="s">
        <v>101</v>
      </c>
      <c r="N9" s="178" t="s">
        <v>102</v>
      </c>
      <c r="O9" s="178" t="s">
        <v>263</v>
      </c>
      <c r="P9" s="178" t="str">
        <f t="shared" si="2"/>
        <v>QUENTA CHOQUE, JULIO CESAR</v>
      </c>
      <c r="Q9" s="350" t="s">
        <v>305</v>
      </c>
      <c r="R9" s="178" t="s">
        <v>359</v>
      </c>
      <c r="S9" s="178" t="s">
        <v>360</v>
      </c>
      <c r="T9" s="178" t="s">
        <v>361</v>
      </c>
      <c r="U9" s="179" t="s">
        <v>331</v>
      </c>
      <c r="V9" s="178" t="s">
        <v>186</v>
      </c>
      <c r="W9" s="178" t="s">
        <v>246</v>
      </c>
      <c r="X9" s="371" t="s">
        <v>235</v>
      </c>
      <c r="Y9" s="180">
        <v>44986</v>
      </c>
      <c r="Z9" s="180">
        <v>45291</v>
      </c>
      <c r="AA9" s="178" t="s">
        <v>188</v>
      </c>
      <c r="AB9" s="178" t="s">
        <v>193</v>
      </c>
    </row>
    <row r="10" spans="1:28" s="178" customFormat="1" x14ac:dyDescent="0.2">
      <c r="A10" s="177">
        <v>591099</v>
      </c>
      <c r="B10" s="178" t="str">
        <f t="shared" si="0"/>
        <v>MARISCAL RAMON CASTILLAJEC8</v>
      </c>
      <c r="C10" s="178" t="s">
        <v>127</v>
      </c>
      <c r="D10" s="178" t="s">
        <v>234</v>
      </c>
      <c r="E10" s="179">
        <v>8</v>
      </c>
      <c r="F10" s="178" t="s">
        <v>314</v>
      </c>
      <c r="G10" s="178" t="s">
        <v>174</v>
      </c>
      <c r="H10" s="178" t="s">
        <v>140</v>
      </c>
      <c r="I10" s="178" t="s">
        <v>176</v>
      </c>
      <c r="J10" s="178" t="s">
        <v>265</v>
      </c>
      <c r="K10" s="178" t="s">
        <v>100</v>
      </c>
      <c r="L10" s="178" t="str">
        <f t="shared" si="1"/>
        <v>PROFESOR: ASENCIO PARIZACA, IVAN PEDRO</v>
      </c>
      <c r="M10" s="178" t="s">
        <v>101</v>
      </c>
      <c r="N10" s="178" t="s">
        <v>190</v>
      </c>
      <c r="O10" s="178" t="s">
        <v>350</v>
      </c>
      <c r="P10" s="178" t="str">
        <f t="shared" si="2"/>
        <v>ASENCIO PARIZACA, IVAN PEDRO</v>
      </c>
      <c r="Q10" s="350" t="s">
        <v>305</v>
      </c>
      <c r="R10" s="178" t="s">
        <v>178</v>
      </c>
      <c r="S10" s="178" t="s">
        <v>362</v>
      </c>
      <c r="T10" s="178" t="s">
        <v>363</v>
      </c>
      <c r="U10" s="179" t="s">
        <v>331</v>
      </c>
      <c r="V10" s="178" t="s">
        <v>186</v>
      </c>
      <c r="W10" s="178" t="s">
        <v>187</v>
      </c>
      <c r="X10" s="371" t="s">
        <v>368</v>
      </c>
      <c r="Y10" s="180">
        <v>44986</v>
      </c>
      <c r="Z10" s="180">
        <v>45291</v>
      </c>
      <c r="AA10" s="178" t="s">
        <v>188</v>
      </c>
      <c r="AB10" s="178" t="s">
        <v>184</v>
      </c>
    </row>
    <row r="11" spans="1:28" s="178" customFormat="1" x14ac:dyDescent="0.2">
      <c r="A11" s="177">
        <v>591099</v>
      </c>
      <c r="B11" s="178" t="str">
        <f t="shared" si="0"/>
        <v>MARISCAL RAMON CASTILLAJEC9</v>
      </c>
      <c r="C11" s="178" t="s">
        <v>127</v>
      </c>
      <c r="D11" s="178" t="s">
        <v>234</v>
      </c>
      <c r="E11" s="179">
        <v>9</v>
      </c>
      <c r="F11" s="178" t="s">
        <v>314</v>
      </c>
      <c r="G11" s="178" t="s">
        <v>174</v>
      </c>
      <c r="H11" s="178" t="s">
        <v>140</v>
      </c>
      <c r="I11" s="178" t="s">
        <v>176</v>
      </c>
      <c r="J11" s="178" t="s">
        <v>266</v>
      </c>
      <c r="K11" s="178" t="s">
        <v>100</v>
      </c>
      <c r="L11" s="178" t="str">
        <f t="shared" si="1"/>
        <v>PROFESOR: VENTURA MENDOZA, PIO HERNAN</v>
      </c>
      <c r="M11" s="178" t="s">
        <v>101</v>
      </c>
      <c r="N11" s="178" t="s">
        <v>102</v>
      </c>
      <c r="O11" s="178" t="s">
        <v>199</v>
      </c>
      <c r="P11" s="178" t="str">
        <f t="shared" si="2"/>
        <v>VENTURA MENDOZA, PIO HERNAN</v>
      </c>
      <c r="Q11" s="350" t="s">
        <v>305</v>
      </c>
      <c r="R11" s="178" t="s">
        <v>317</v>
      </c>
      <c r="S11" s="178" t="s">
        <v>218</v>
      </c>
      <c r="T11" s="178" t="s">
        <v>364</v>
      </c>
      <c r="U11" s="179" t="s">
        <v>334</v>
      </c>
      <c r="V11" s="178" t="s">
        <v>186</v>
      </c>
      <c r="W11" s="178" t="s">
        <v>247</v>
      </c>
      <c r="X11" s="371" t="s">
        <v>267</v>
      </c>
      <c r="Y11" s="180">
        <v>44986</v>
      </c>
      <c r="Z11" s="180">
        <v>45291</v>
      </c>
      <c r="AA11" s="178" t="s">
        <v>188</v>
      </c>
      <c r="AB11" s="178" t="s">
        <v>184</v>
      </c>
    </row>
    <row r="12" spans="1:28" s="178" customFormat="1" x14ac:dyDescent="0.2">
      <c r="A12" s="177">
        <v>591099</v>
      </c>
      <c r="B12" s="178" t="str">
        <f t="shared" si="0"/>
        <v>MARISCAL RAMON CASTILLAJEC10</v>
      </c>
      <c r="C12" s="178" t="s">
        <v>127</v>
      </c>
      <c r="D12" s="178" t="s">
        <v>234</v>
      </c>
      <c r="E12" s="179">
        <v>10</v>
      </c>
      <c r="F12" s="178" t="s">
        <v>314</v>
      </c>
      <c r="G12" s="178" t="s">
        <v>174</v>
      </c>
      <c r="H12" s="178" t="s">
        <v>140</v>
      </c>
      <c r="I12" s="178" t="s">
        <v>176</v>
      </c>
      <c r="J12" s="178" t="s">
        <v>257</v>
      </c>
      <c r="K12" s="178" t="s">
        <v>100</v>
      </c>
      <c r="L12" s="178" t="str">
        <f t="shared" si="1"/>
        <v>PROFESOR: MENDOZA MENDOZA, ELVIS MARCELO</v>
      </c>
      <c r="M12" s="178" t="s">
        <v>101</v>
      </c>
      <c r="N12" s="178" t="s">
        <v>190</v>
      </c>
      <c r="O12" s="178" t="s">
        <v>351</v>
      </c>
      <c r="P12" s="178" t="str">
        <f t="shared" si="2"/>
        <v>MENDOZA MENDOZA, ELVIS MARCELO</v>
      </c>
      <c r="Q12" s="350" t="s">
        <v>305</v>
      </c>
      <c r="R12" s="178" t="s">
        <v>218</v>
      </c>
      <c r="S12" s="178" t="s">
        <v>218</v>
      </c>
      <c r="T12" s="178" t="s">
        <v>365</v>
      </c>
      <c r="U12" s="179" t="s">
        <v>331</v>
      </c>
      <c r="V12" s="178" t="s">
        <v>186</v>
      </c>
      <c r="W12" s="178" t="s">
        <v>187</v>
      </c>
      <c r="X12" s="371" t="s">
        <v>369</v>
      </c>
      <c r="Y12" s="180">
        <v>44998</v>
      </c>
      <c r="Z12" s="180">
        <v>45291</v>
      </c>
      <c r="AA12" s="178" t="s">
        <v>188</v>
      </c>
      <c r="AB12" s="178" t="s">
        <v>184</v>
      </c>
    </row>
    <row r="13" spans="1:28" s="182" customFormat="1" x14ac:dyDescent="0.2">
      <c r="A13" s="181">
        <v>708701</v>
      </c>
      <c r="B13" s="178" t="str">
        <f t="shared" si="0"/>
        <v>ANTONIO RAYMONDIJER-EIB1</v>
      </c>
      <c r="C13" s="182" t="s">
        <v>129</v>
      </c>
      <c r="D13" s="182" t="s">
        <v>478</v>
      </c>
      <c r="E13" s="183">
        <v>1</v>
      </c>
      <c r="F13" s="182" t="s">
        <v>314</v>
      </c>
      <c r="G13" s="182" t="s">
        <v>174</v>
      </c>
      <c r="H13" s="182" t="s">
        <v>140</v>
      </c>
      <c r="I13" s="182" t="s">
        <v>176</v>
      </c>
      <c r="J13" s="182" t="s">
        <v>200</v>
      </c>
      <c r="K13" s="182" t="s">
        <v>103</v>
      </c>
      <c r="L13" s="182" t="str">
        <f t="shared" si="1"/>
        <v>DIRECTOR I.E.: CABANA MAMANI, WENCESLAO QUINTIN</v>
      </c>
      <c r="M13" s="182" t="s">
        <v>105</v>
      </c>
      <c r="N13" s="182" t="s">
        <v>106</v>
      </c>
      <c r="O13" s="182" t="s">
        <v>201</v>
      </c>
      <c r="P13" s="182" t="str">
        <f t="shared" si="2"/>
        <v>CABANA MAMANI, WENCESLAO QUINTIN</v>
      </c>
      <c r="Q13" s="351" t="s">
        <v>306</v>
      </c>
      <c r="R13" s="182" t="s">
        <v>202</v>
      </c>
      <c r="S13" s="182" t="s">
        <v>198</v>
      </c>
      <c r="T13" s="182" t="s">
        <v>203</v>
      </c>
      <c r="U13" s="183" t="s">
        <v>331</v>
      </c>
      <c r="V13" s="182" t="s">
        <v>181</v>
      </c>
      <c r="W13" s="182" t="s">
        <v>335</v>
      </c>
      <c r="X13" s="372" t="s">
        <v>204</v>
      </c>
      <c r="Y13" s="184">
        <v>44986</v>
      </c>
      <c r="Z13" s="184"/>
      <c r="AA13" s="182" t="s">
        <v>188</v>
      </c>
      <c r="AB13" s="182" t="s">
        <v>184</v>
      </c>
    </row>
    <row r="14" spans="1:28" s="182" customFormat="1" x14ac:dyDescent="0.2">
      <c r="A14" s="181">
        <v>708701</v>
      </c>
      <c r="B14" s="178" t="str">
        <f t="shared" si="0"/>
        <v>ANTONIO RAYMONDIJER-EIB2</v>
      </c>
      <c r="C14" s="182" t="s">
        <v>129</v>
      </c>
      <c r="D14" s="182" t="s">
        <v>478</v>
      </c>
      <c r="E14" s="183">
        <v>2</v>
      </c>
      <c r="F14" s="182" t="s">
        <v>314</v>
      </c>
      <c r="G14" s="182" t="s">
        <v>174</v>
      </c>
      <c r="H14" s="182" t="s">
        <v>140</v>
      </c>
      <c r="I14" s="182" t="s">
        <v>176</v>
      </c>
      <c r="J14" s="182" t="s">
        <v>205</v>
      </c>
      <c r="K14" s="182" t="s">
        <v>100</v>
      </c>
      <c r="L14" s="182" t="str">
        <f t="shared" si="1"/>
        <v>PROFESOR: MAMANI COAYLA, EDGAR OSCAR</v>
      </c>
      <c r="M14" s="182" t="s">
        <v>101</v>
      </c>
      <c r="N14" s="182" t="s">
        <v>102</v>
      </c>
      <c r="O14" s="182" t="s">
        <v>206</v>
      </c>
      <c r="P14" s="182" t="str">
        <f t="shared" si="2"/>
        <v>MAMANI COAYLA, EDGAR OSCAR</v>
      </c>
      <c r="Q14" s="351" t="s">
        <v>306</v>
      </c>
      <c r="R14" s="182" t="s">
        <v>198</v>
      </c>
      <c r="S14" s="182" t="s">
        <v>371</v>
      </c>
      <c r="T14" s="182" t="s">
        <v>372</v>
      </c>
      <c r="U14" s="183" t="s">
        <v>333</v>
      </c>
      <c r="V14" s="182" t="s">
        <v>186</v>
      </c>
      <c r="W14" s="182" t="s">
        <v>187</v>
      </c>
      <c r="X14" s="372" t="s">
        <v>207</v>
      </c>
      <c r="AA14" s="182" t="s">
        <v>188</v>
      </c>
      <c r="AB14" s="182" t="s">
        <v>184</v>
      </c>
    </row>
    <row r="15" spans="1:28" s="182" customFormat="1" x14ac:dyDescent="0.2">
      <c r="A15" s="181">
        <v>708701</v>
      </c>
      <c r="B15" s="178" t="str">
        <f t="shared" si="0"/>
        <v>ANTONIO RAYMONDIJER-EIB3</v>
      </c>
      <c r="C15" s="182" t="s">
        <v>129</v>
      </c>
      <c r="D15" s="182" t="s">
        <v>478</v>
      </c>
      <c r="E15" s="183">
        <v>3</v>
      </c>
      <c r="F15" s="182" t="s">
        <v>314</v>
      </c>
      <c r="G15" s="182" t="s">
        <v>174</v>
      </c>
      <c r="H15" s="182" t="s">
        <v>140</v>
      </c>
      <c r="I15" s="182" t="s">
        <v>176</v>
      </c>
      <c r="J15" s="182" t="s">
        <v>208</v>
      </c>
      <c r="K15" s="182" t="s">
        <v>100</v>
      </c>
      <c r="L15" s="182" t="str">
        <f t="shared" si="1"/>
        <v>PROFESOR: ZAPANA NUÑEZ, WALTER</v>
      </c>
      <c r="M15" s="182" t="s">
        <v>101</v>
      </c>
      <c r="N15" s="182" t="s">
        <v>190</v>
      </c>
      <c r="O15" s="182" t="s">
        <v>370</v>
      </c>
      <c r="P15" s="182" t="str">
        <f t="shared" si="2"/>
        <v>ZAPANA NUÑEZ, WALTER</v>
      </c>
      <c r="Q15" s="351" t="s">
        <v>306</v>
      </c>
      <c r="R15" s="182" t="s">
        <v>373</v>
      </c>
      <c r="S15" s="182" t="s">
        <v>374</v>
      </c>
      <c r="T15" s="182" t="s">
        <v>375</v>
      </c>
      <c r="U15" s="183" t="s">
        <v>331</v>
      </c>
      <c r="V15" s="182" t="s">
        <v>186</v>
      </c>
      <c r="W15" s="182" t="s">
        <v>187</v>
      </c>
      <c r="X15" s="372" t="s">
        <v>381</v>
      </c>
      <c r="Y15" s="184">
        <v>44998</v>
      </c>
      <c r="Z15" s="182">
        <v>45291</v>
      </c>
      <c r="AA15" s="182" t="s">
        <v>188</v>
      </c>
      <c r="AB15" s="182" t="s">
        <v>193</v>
      </c>
    </row>
    <row r="16" spans="1:28" s="182" customFormat="1" x14ac:dyDescent="0.2">
      <c r="A16" s="181">
        <v>708701</v>
      </c>
      <c r="B16" s="178" t="str">
        <f t="shared" si="0"/>
        <v>ANTONIO RAYMONDIJER-EIB4</v>
      </c>
      <c r="C16" s="182" t="s">
        <v>129</v>
      </c>
      <c r="D16" s="182" t="s">
        <v>478</v>
      </c>
      <c r="E16" s="183">
        <v>4</v>
      </c>
      <c r="F16" s="182" t="s">
        <v>314</v>
      </c>
      <c r="G16" s="182" t="s">
        <v>174</v>
      </c>
      <c r="H16" s="182" t="s">
        <v>140</v>
      </c>
      <c r="I16" s="182" t="s">
        <v>176</v>
      </c>
      <c r="J16" s="182" t="s">
        <v>214</v>
      </c>
      <c r="K16" s="182" t="s">
        <v>100</v>
      </c>
      <c r="L16" s="182" t="str">
        <f t="shared" si="1"/>
        <v>PROFESOR: CUAYLA SANTOS, MARIBEL MARTHA</v>
      </c>
      <c r="M16" s="182" t="s">
        <v>101</v>
      </c>
      <c r="N16" s="182" t="s">
        <v>190</v>
      </c>
      <c r="O16" s="182" t="s">
        <v>215</v>
      </c>
      <c r="P16" s="182" t="str">
        <f t="shared" si="2"/>
        <v>CUAYLA SANTOS, MARIBEL MARTHA</v>
      </c>
      <c r="Q16" s="351" t="s">
        <v>306</v>
      </c>
      <c r="R16" s="182" t="s">
        <v>376</v>
      </c>
      <c r="S16" s="182" t="s">
        <v>180</v>
      </c>
      <c r="T16" s="182" t="s">
        <v>377</v>
      </c>
      <c r="U16" s="183" t="s">
        <v>331</v>
      </c>
      <c r="V16" s="182" t="s">
        <v>186</v>
      </c>
      <c r="W16" s="182" t="s">
        <v>187</v>
      </c>
      <c r="X16" s="372" t="s">
        <v>382</v>
      </c>
      <c r="Y16" s="182">
        <v>44986</v>
      </c>
      <c r="Z16" s="182">
        <v>45291</v>
      </c>
      <c r="AA16" s="182" t="s">
        <v>188</v>
      </c>
      <c r="AB16" s="182" t="s">
        <v>193</v>
      </c>
    </row>
    <row r="17" spans="1:28" s="182" customFormat="1" x14ac:dyDescent="0.2">
      <c r="A17" s="181">
        <v>708701</v>
      </c>
      <c r="B17" s="178" t="str">
        <f t="shared" si="0"/>
        <v>ANTONIO RAYMONDIJER-EIB5</v>
      </c>
      <c r="C17" s="182" t="s">
        <v>129</v>
      </c>
      <c r="D17" s="182" t="s">
        <v>478</v>
      </c>
      <c r="E17" s="183">
        <v>5</v>
      </c>
      <c r="F17" s="182" t="s">
        <v>314</v>
      </c>
      <c r="G17" s="182" t="s">
        <v>174</v>
      </c>
      <c r="H17" s="182" t="s">
        <v>140</v>
      </c>
      <c r="I17" s="182" t="s">
        <v>176</v>
      </c>
      <c r="J17" s="182" t="s">
        <v>216</v>
      </c>
      <c r="K17" s="182" t="s">
        <v>100</v>
      </c>
      <c r="L17" s="182" t="str">
        <f t="shared" si="1"/>
        <v>PROFESOR: QUISPE FLORES, PERCY</v>
      </c>
      <c r="M17" s="182" t="s">
        <v>101</v>
      </c>
      <c r="N17" s="182" t="s">
        <v>190</v>
      </c>
      <c r="O17" s="182" t="s">
        <v>217</v>
      </c>
      <c r="P17" s="182" t="str">
        <f t="shared" si="2"/>
        <v>QUISPE FLORES, PERCY</v>
      </c>
      <c r="Q17" s="351" t="s">
        <v>306</v>
      </c>
      <c r="R17" s="182" t="s">
        <v>352</v>
      </c>
      <c r="S17" s="182" t="s">
        <v>378</v>
      </c>
      <c r="T17" s="182" t="s">
        <v>379</v>
      </c>
      <c r="U17" s="183" t="s">
        <v>331</v>
      </c>
      <c r="V17" s="182" t="s">
        <v>186</v>
      </c>
      <c r="W17" s="182" t="s">
        <v>187</v>
      </c>
      <c r="X17" s="372" t="s">
        <v>383</v>
      </c>
      <c r="Y17" s="184">
        <v>44986</v>
      </c>
      <c r="Z17" s="184">
        <v>45291</v>
      </c>
      <c r="AA17" s="182" t="s">
        <v>188</v>
      </c>
      <c r="AB17" s="182" t="s">
        <v>193</v>
      </c>
    </row>
    <row r="18" spans="1:28" s="182" customFormat="1" x14ac:dyDescent="0.2">
      <c r="A18" s="181">
        <v>708701</v>
      </c>
      <c r="B18" s="178" t="str">
        <f>C18&amp;D18&amp;E18</f>
        <v>ANTONIO RAYMONDIJER-EIB5</v>
      </c>
      <c r="C18" s="182" t="s">
        <v>129</v>
      </c>
      <c r="D18" s="182" t="s">
        <v>478</v>
      </c>
      <c r="E18" s="183">
        <v>5</v>
      </c>
      <c r="F18" s="182" t="s">
        <v>314</v>
      </c>
      <c r="G18" s="182" t="s">
        <v>174</v>
      </c>
      <c r="H18" s="182" t="s">
        <v>140</v>
      </c>
      <c r="I18" s="182" t="s">
        <v>176</v>
      </c>
      <c r="J18" s="182" t="s">
        <v>219</v>
      </c>
      <c r="K18" s="182" t="s">
        <v>100</v>
      </c>
      <c r="M18" s="182" t="s">
        <v>101</v>
      </c>
      <c r="N18" s="182" t="s">
        <v>102</v>
      </c>
      <c r="O18" s="182" t="s">
        <v>220</v>
      </c>
      <c r="P18" s="182" t="str">
        <f t="shared" si="2"/>
        <v>CABANA MAMANI, ROBERTO</v>
      </c>
      <c r="Q18" s="351" t="s">
        <v>306</v>
      </c>
      <c r="R18" s="182" t="s">
        <v>202</v>
      </c>
      <c r="S18" s="182" t="s">
        <v>198</v>
      </c>
      <c r="T18" s="182" t="s">
        <v>380</v>
      </c>
      <c r="U18" s="183" t="s">
        <v>331</v>
      </c>
      <c r="V18" s="182" t="s">
        <v>186</v>
      </c>
      <c r="W18" s="182" t="s">
        <v>187</v>
      </c>
      <c r="X18" s="372" t="s">
        <v>291</v>
      </c>
      <c r="Y18" s="184"/>
      <c r="Z18" s="184"/>
      <c r="AA18" s="182" t="s">
        <v>188</v>
      </c>
      <c r="AB18" s="182" t="s">
        <v>184</v>
      </c>
    </row>
    <row r="19" spans="1:28" s="182" customFormat="1" x14ac:dyDescent="0.2">
      <c r="A19" s="181">
        <v>708701</v>
      </c>
      <c r="B19" s="178" t="str">
        <f t="shared" si="0"/>
        <v>ANTONIO RAYMONDIJER-EIB6</v>
      </c>
      <c r="C19" s="182" t="s">
        <v>129</v>
      </c>
      <c r="D19" s="182" t="s">
        <v>478</v>
      </c>
      <c r="E19" s="183">
        <v>6</v>
      </c>
      <c r="F19" s="182" t="s">
        <v>314</v>
      </c>
      <c r="G19" s="182" t="s">
        <v>174</v>
      </c>
      <c r="H19" s="182" t="s">
        <v>140</v>
      </c>
      <c r="I19" s="182" t="s">
        <v>176</v>
      </c>
      <c r="J19" s="182" t="s">
        <v>210</v>
      </c>
      <c r="K19" s="182" t="s">
        <v>100</v>
      </c>
      <c r="L19" s="182" t="str">
        <f t="shared" si="1"/>
        <v>PROFESOR: CACERES CHAMBILLA, ANGEL</v>
      </c>
      <c r="M19" s="182" t="s">
        <v>101</v>
      </c>
      <c r="N19" s="182" t="s">
        <v>102</v>
      </c>
      <c r="O19" s="182" t="s">
        <v>211</v>
      </c>
      <c r="P19" s="182" t="str">
        <f t="shared" si="2"/>
        <v>CACERES CHAMBILLA, ANGEL</v>
      </c>
      <c r="Q19" s="351" t="s">
        <v>306</v>
      </c>
      <c r="R19" s="182" t="s">
        <v>322</v>
      </c>
      <c r="S19" s="182" t="s">
        <v>212</v>
      </c>
      <c r="T19" s="182" t="s">
        <v>323</v>
      </c>
      <c r="U19" s="183" t="s">
        <v>333</v>
      </c>
      <c r="V19" s="182" t="s">
        <v>186</v>
      </c>
      <c r="W19" s="182" t="s">
        <v>223</v>
      </c>
      <c r="X19" s="372" t="s">
        <v>213</v>
      </c>
      <c r="Y19" s="184">
        <v>44936</v>
      </c>
      <c r="Z19" s="184">
        <v>45291</v>
      </c>
      <c r="AA19" s="182" t="s">
        <v>188</v>
      </c>
      <c r="AB19" s="182" t="s">
        <v>184</v>
      </c>
    </row>
    <row r="20" spans="1:28" s="186" customFormat="1" x14ac:dyDescent="0.2">
      <c r="A20" s="185">
        <v>1125301</v>
      </c>
      <c r="B20" s="178" t="str">
        <f t="shared" ref="B20:B26" si="3">C20&amp;D20&amp;E20</f>
        <v>TECNICO AGROPECUARIO CESAR VIZCARRA VARGASJER-EIB1</v>
      </c>
      <c r="C20" s="186" t="s">
        <v>128</v>
      </c>
      <c r="D20" s="186" t="s">
        <v>478</v>
      </c>
      <c r="E20" s="187">
        <v>1</v>
      </c>
      <c r="F20" s="186" t="s">
        <v>314</v>
      </c>
      <c r="G20" s="186" t="s">
        <v>174</v>
      </c>
      <c r="H20" s="186" t="s">
        <v>140</v>
      </c>
      <c r="I20" s="186" t="s">
        <v>176</v>
      </c>
      <c r="J20" s="186" t="s">
        <v>272</v>
      </c>
      <c r="K20" s="186" t="s">
        <v>103</v>
      </c>
      <c r="L20" s="186" t="str">
        <f t="shared" ref="L20:L26" si="4">M20&amp;": "&amp;P20</f>
        <v>DIRECTOR I.E.: ARAPA POLO, ANA NADIA</v>
      </c>
      <c r="M20" s="186" t="s">
        <v>105</v>
      </c>
      <c r="N20" s="186" t="s">
        <v>104</v>
      </c>
      <c r="O20" s="186" t="s">
        <v>271</v>
      </c>
      <c r="P20" s="186" t="str">
        <f t="shared" si="2"/>
        <v>ARAPA POLO, ANA NADIA</v>
      </c>
      <c r="Q20" s="344">
        <v>1125301</v>
      </c>
      <c r="R20" s="186" t="s">
        <v>319</v>
      </c>
      <c r="S20" s="186" t="s">
        <v>320</v>
      </c>
      <c r="T20" s="186" t="s">
        <v>321</v>
      </c>
      <c r="U20" s="187" t="s">
        <v>332</v>
      </c>
      <c r="V20" s="186" t="s">
        <v>181</v>
      </c>
      <c r="W20" s="186" t="s">
        <v>187</v>
      </c>
      <c r="X20" s="373" t="s">
        <v>275</v>
      </c>
      <c r="Y20" s="188">
        <v>45155</v>
      </c>
      <c r="Z20" s="188">
        <v>45291</v>
      </c>
      <c r="AA20" s="186" t="s">
        <v>188</v>
      </c>
      <c r="AB20" s="186" t="s">
        <v>184</v>
      </c>
    </row>
    <row r="21" spans="1:28" s="186" customFormat="1" x14ac:dyDescent="0.2">
      <c r="A21" s="185">
        <v>1125301</v>
      </c>
      <c r="B21" s="178" t="str">
        <f t="shared" si="3"/>
        <v>TECNICO AGROPECUARIO CESAR VIZCARRA VARGASJER-EIB2</v>
      </c>
      <c r="C21" s="186" t="s">
        <v>128</v>
      </c>
      <c r="D21" s="186" t="s">
        <v>478</v>
      </c>
      <c r="E21" s="187">
        <v>2</v>
      </c>
      <c r="F21" s="186" t="s">
        <v>314</v>
      </c>
      <c r="G21" s="186" t="s">
        <v>174</v>
      </c>
      <c r="H21" s="186" t="s">
        <v>140</v>
      </c>
      <c r="I21" s="186" t="s">
        <v>176</v>
      </c>
      <c r="J21" s="186" t="s">
        <v>276</v>
      </c>
      <c r="K21" s="186" t="s">
        <v>100</v>
      </c>
      <c r="L21" s="186" t="str">
        <f t="shared" si="4"/>
        <v>PROFESOR: RAMOS RAMOS, VALERIO RENE</v>
      </c>
      <c r="M21" s="186" t="s">
        <v>101</v>
      </c>
      <c r="N21" s="186" t="s">
        <v>190</v>
      </c>
      <c r="O21" s="186" t="s">
        <v>277</v>
      </c>
      <c r="P21" s="186" t="str">
        <f t="shared" si="2"/>
        <v>RAMOS RAMOS, VALERIO RENE</v>
      </c>
      <c r="Q21" s="344">
        <v>1125301</v>
      </c>
      <c r="R21" s="186" t="s">
        <v>179</v>
      </c>
      <c r="S21" s="186" t="s">
        <v>179</v>
      </c>
      <c r="T21" s="186" t="s">
        <v>385</v>
      </c>
      <c r="U21" s="187" t="s">
        <v>331</v>
      </c>
      <c r="V21" s="186" t="s">
        <v>186</v>
      </c>
      <c r="W21" s="186" t="s">
        <v>187</v>
      </c>
      <c r="X21" s="373" t="s">
        <v>396</v>
      </c>
      <c r="Y21" s="188">
        <v>44986</v>
      </c>
      <c r="Z21" s="188">
        <v>45291</v>
      </c>
      <c r="AA21" s="186" t="s">
        <v>188</v>
      </c>
      <c r="AB21" s="186" t="s">
        <v>193</v>
      </c>
    </row>
    <row r="22" spans="1:28" s="186" customFormat="1" x14ac:dyDescent="0.2">
      <c r="A22" s="185">
        <v>1125301</v>
      </c>
      <c r="B22" s="178" t="str">
        <f t="shared" si="3"/>
        <v>TECNICO AGROPECUARIO CESAR VIZCARRA VARGASJER-EIB3</v>
      </c>
      <c r="C22" s="186" t="s">
        <v>128</v>
      </c>
      <c r="D22" s="186" t="s">
        <v>478</v>
      </c>
      <c r="E22" s="187">
        <v>3</v>
      </c>
      <c r="F22" s="186" t="s">
        <v>314</v>
      </c>
      <c r="G22" s="186" t="s">
        <v>174</v>
      </c>
      <c r="H22" s="186" t="s">
        <v>140</v>
      </c>
      <c r="I22" s="186" t="s">
        <v>176</v>
      </c>
      <c r="J22" s="186" t="s">
        <v>278</v>
      </c>
      <c r="K22" s="186" t="s">
        <v>100</v>
      </c>
      <c r="L22" s="186" t="str">
        <f t="shared" si="4"/>
        <v>PROFESOR: VENTURA MAQUERA, EDWIN ORLANDO</v>
      </c>
      <c r="M22" s="186" t="s">
        <v>101</v>
      </c>
      <c r="N22" s="186" t="s">
        <v>102</v>
      </c>
      <c r="O22" s="186" t="s">
        <v>279</v>
      </c>
      <c r="P22" s="186" t="str">
        <f t="shared" si="2"/>
        <v>VENTURA MAQUERA, EDWIN ORLANDO</v>
      </c>
      <c r="Q22" s="344">
        <v>1125301</v>
      </c>
      <c r="R22" s="186" t="s">
        <v>317</v>
      </c>
      <c r="S22" s="186" t="s">
        <v>356</v>
      </c>
      <c r="T22" s="186" t="s">
        <v>386</v>
      </c>
      <c r="U22" s="187" t="s">
        <v>331</v>
      </c>
      <c r="V22" s="186" t="s">
        <v>186</v>
      </c>
      <c r="W22" s="186" t="s">
        <v>395</v>
      </c>
      <c r="X22" s="373" t="s">
        <v>280</v>
      </c>
      <c r="Y22" s="188">
        <v>44927</v>
      </c>
      <c r="Z22" s="188">
        <v>45291</v>
      </c>
      <c r="AA22" s="186" t="s">
        <v>188</v>
      </c>
      <c r="AB22" s="186" t="s">
        <v>184</v>
      </c>
    </row>
    <row r="23" spans="1:28" s="186" customFormat="1" x14ac:dyDescent="0.2">
      <c r="A23" s="185">
        <v>1125301</v>
      </c>
      <c r="B23" s="178" t="str">
        <f t="shared" si="3"/>
        <v>TECNICO AGROPECUARIO CESAR VIZCARRA VARGASJER-EIB4</v>
      </c>
      <c r="C23" s="186" t="s">
        <v>128</v>
      </c>
      <c r="D23" s="186" t="s">
        <v>478</v>
      </c>
      <c r="E23" s="187">
        <v>4</v>
      </c>
      <c r="F23" s="186" t="s">
        <v>314</v>
      </c>
      <c r="G23" s="186" t="s">
        <v>174</v>
      </c>
      <c r="H23" s="186" t="s">
        <v>140</v>
      </c>
      <c r="I23" s="186" t="s">
        <v>176</v>
      </c>
      <c r="J23" s="186" t="s">
        <v>281</v>
      </c>
      <c r="K23" s="186" t="s">
        <v>100</v>
      </c>
      <c r="L23" s="186" t="str">
        <f t="shared" si="4"/>
        <v>PROFESOR: CCOSI CCOSI, RENE</v>
      </c>
      <c r="M23" s="186" t="s">
        <v>101</v>
      </c>
      <c r="N23" s="186" t="s">
        <v>190</v>
      </c>
      <c r="O23" s="186" t="s">
        <v>384</v>
      </c>
      <c r="P23" s="186" t="str">
        <f t="shared" si="2"/>
        <v>CCOSI CCOSI, RENE</v>
      </c>
      <c r="Q23" s="344">
        <v>1125301</v>
      </c>
      <c r="R23" s="186" t="s">
        <v>387</v>
      </c>
      <c r="S23" s="186" t="s">
        <v>387</v>
      </c>
      <c r="T23" s="186" t="s">
        <v>388</v>
      </c>
      <c r="U23" s="187" t="s">
        <v>331</v>
      </c>
      <c r="V23" s="186" t="s">
        <v>186</v>
      </c>
      <c r="W23" s="186" t="s">
        <v>187</v>
      </c>
      <c r="X23" s="373" t="s">
        <v>264</v>
      </c>
      <c r="Y23" s="188">
        <v>44986</v>
      </c>
      <c r="Z23" s="188">
        <v>45291</v>
      </c>
      <c r="AA23" s="186" t="s">
        <v>188</v>
      </c>
      <c r="AB23" s="186" t="s">
        <v>193</v>
      </c>
    </row>
    <row r="24" spans="1:28" s="186" customFormat="1" x14ac:dyDescent="0.2">
      <c r="A24" s="185">
        <v>1125301</v>
      </c>
      <c r="B24" s="178" t="str">
        <f t="shared" si="3"/>
        <v>TECNICO AGROPECUARIO CESAR VIZCARRA VARGASJER-EIB5</v>
      </c>
      <c r="C24" s="186" t="s">
        <v>128</v>
      </c>
      <c r="D24" s="186" t="s">
        <v>478</v>
      </c>
      <c r="E24" s="187">
        <v>5</v>
      </c>
      <c r="F24" s="186" t="s">
        <v>314</v>
      </c>
      <c r="G24" s="186" t="s">
        <v>174</v>
      </c>
      <c r="H24" s="186" t="s">
        <v>140</v>
      </c>
      <c r="I24" s="186" t="s">
        <v>176</v>
      </c>
      <c r="J24" s="186" t="s">
        <v>282</v>
      </c>
      <c r="K24" s="186" t="s">
        <v>100</v>
      </c>
      <c r="L24" s="186" t="str">
        <f t="shared" si="4"/>
        <v>PROFESOR: VERA ROJAS, PAOLA</v>
      </c>
      <c r="M24" s="186" t="s">
        <v>101</v>
      </c>
      <c r="N24" s="186" t="s">
        <v>190</v>
      </c>
      <c r="O24" s="186" t="s">
        <v>283</v>
      </c>
      <c r="P24" s="186" t="str">
        <f t="shared" si="2"/>
        <v>VERA ROJAS, PAOLA</v>
      </c>
      <c r="Q24" s="344">
        <v>1125301</v>
      </c>
      <c r="R24" s="186" t="s">
        <v>389</v>
      </c>
      <c r="S24" s="186" t="s">
        <v>390</v>
      </c>
      <c r="T24" s="186" t="s">
        <v>391</v>
      </c>
      <c r="U24" s="187" t="s">
        <v>331</v>
      </c>
      <c r="V24" s="186" t="s">
        <v>186</v>
      </c>
      <c r="W24" s="186" t="s">
        <v>187</v>
      </c>
      <c r="X24" s="373" t="s">
        <v>397</v>
      </c>
      <c r="Y24" s="188">
        <v>44998</v>
      </c>
      <c r="Z24" s="188">
        <v>45291</v>
      </c>
      <c r="AA24" s="186" t="s">
        <v>188</v>
      </c>
      <c r="AB24" s="186" t="s">
        <v>193</v>
      </c>
    </row>
    <row r="25" spans="1:28" s="186" customFormat="1" x14ac:dyDescent="0.2">
      <c r="A25" s="185">
        <v>1125301</v>
      </c>
      <c r="B25" s="178" t="str">
        <f t="shared" si="3"/>
        <v>TECNICO AGROPECUARIO CESAR VIZCARRA VARGASJER-EIB6</v>
      </c>
      <c r="C25" s="186" t="s">
        <v>128</v>
      </c>
      <c r="D25" s="186" t="s">
        <v>478</v>
      </c>
      <c r="E25" s="187">
        <v>6</v>
      </c>
      <c r="F25" s="186" t="s">
        <v>314</v>
      </c>
      <c r="G25" s="186" t="s">
        <v>174</v>
      </c>
      <c r="H25" s="186" t="s">
        <v>140</v>
      </c>
      <c r="I25" s="186" t="s">
        <v>176</v>
      </c>
      <c r="J25" s="186" t="s">
        <v>273</v>
      </c>
      <c r="K25" s="186" t="s">
        <v>100</v>
      </c>
      <c r="L25" s="186" t="str">
        <f t="shared" si="4"/>
        <v>PROFESOR: ARAPA POLO, ANA NADIA</v>
      </c>
      <c r="M25" s="186" t="s">
        <v>101</v>
      </c>
      <c r="N25" s="186" t="s">
        <v>102</v>
      </c>
      <c r="O25" s="186" t="s">
        <v>274</v>
      </c>
      <c r="P25" s="186" t="str">
        <f t="shared" si="2"/>
        <v>ARAPA POLO, ANA NADIA</v>
      </c>
      <c r="Q25" s="344">
        <v>1125301</v>
      </c>
      <c r="R25" s="186" t="s">
        <v>319</v>
      </c>
      <c r="S25" s="186" t="s">
        <v>320</v>
      </c>
      <c r="T25" s="186" t="s">
        <v>321</v>
      </c>
      <c r="U25" s="187" t="s">
        <v>332</v>
      </c>
      <c r="V25" s="186" t="s">
        <v>186</v>
      </c>
      <c r="W25" s="186" t="s">
        <v>223</v>
      </c>
      <c r="X25" s="373" t="s">
        <v>275</v>
      </c>
      <c r="Y25" s="188">
        <v>45155</v>
      </c>
      <c r="Z25" s="188">
        <v>45291</v>
      </c>
      <c r="AA25" s="186" t="s">
        <v>188</v>
      </c>
      <c r="AB25" s="186" t="s">
        <v>184</v>
      </c>
    </row>
    <row r="26" spans="1:28" s="186" customFormat="1" x14ac:dyDescent="0.2">
      <c r="A26" s="185">
        <v>1125301</v>
      </c>
      <c r="B26" s="178" t="str">
        <f t="shared" si="3"/>
        <v>TECNICO AGROPECUARIO CESAR VIZCARRA VARGASJER-EIB7</v>
      </c>
      <c r="C26" s="186" t="s">
        <v>128</v>
      </c>
      <c r="D26" s="186" t="s">
        <v>478</v>
      </c>
      <c r="E26" s="187">
        <v>7</v>
      </c>
      <c r="F26" s="186" t="s">
        <v>314</v>
      </c>
      <c r="G26" s="186" t="s">
        <v>174</v>
      </c>
      <c r="H26" s="186" t="s">
        <v>140</v>
      </c>
      <c r="I26" s="186" t="s">
        <v>176</v>
      </c>
      <c r="J26" s="186" t="s">
        <v>284</v>
      </c>
      <c r="K26" s="186" t="s">
        <v>100</v>
      </c>
      <c r="L26" s="186" t="str">
        <f t="shared" si="4"/>
        <v>PROFESOR: MACHACA HUAYTA, YUDY</v>
      </c>
      <c r="M26" s="186" t="s">
        <v>101</v>
      </c>
      <c r="N26" s="186" t="s">
        <v>190</v>
      </c>
      <c r="O26" s="186" t="s">
        <v>285</v>
      </c>
      <c r="P26" s="186" t="str">
        <f t="shared" si="2"/>
        <v>MACHACA HUAYTA, YUDY</v>
      </c>
      <c r="Q26" s="344">
        <v>1125301</v>
      </c>
      <c r="R26" s="186" t="s">
        <v>392</v>
      </c>
      <c r="S26" s="186" t="s">
        <v>393</v>
      </c>
      <c r="T26" s="186" t="s">
        <v>394</v>
      </c>
      <c r="U26" s="187" t="s">
        <v>331</v>
      </c>
      <c r="V26" s="186" t="s">
        <v>186</v>
      </c>
      <c r="W26" s="186" t="s">
        <v>187</v>
      </c>
      <c r="X26" s="373" t="s">
        <v>398</v>
      </c>
      <c r="Y26" s="188">
        <v>44986</v>
      </c>
      <c r="Z26" s="188">
        <v>45291</v>
      </c>
      <c r="AA26" s="186" t="s">
        <v>188</v>
      </c>
      <c r="AB26" s="186" t="s">
        <v>193</v>
      </c>
    </row>
    <row r="27" spans="1:28" s="341" customFormat="1" x14ac:dyDescent="0.2">
      <c r="A27" s="340">
        <v>1260439</v>
      </c>
      <c r="B27" s="178" t="str">
        <f t="shared" ref="B27:B36" si="5">C27&amp;D27&amp;E27</f>
        <v>ESTATAL DE TOLAPALCAJER-EIB1</v>
      </c>
      <c r="C27" s="341" t="s">
        <v>126</v>
      </c>
      <c r="D27" s="341" t="s">
        <v>478</v>
      </c>
      <c r="E27" s="342">
        <v>1</v>
      </c>
      <c r="F27" s="341" t="s">
        <v>314</v>
      </c>
      <c r="G27" s="341" t="s">
        <v>174</v>
      </c>
      <c r="H27" s="341" t="s">
        <v>140</v>
      </c>
      <c r="I27" s="341" t="s">
        <v>176</v>
      </c>
      <c r="J27" s="341" t="s">
        <v>237</v>
      </c>
      <c r="K27" s="341" t="s">
        <v>103</v>
      </c>
      <c r="L27" s="341" t="str">
        <f t="shared" ref="L27:L37" si="6">M27&amp;": "&amp;P27</f>
        <v>DIRECTOR I.E.: CACERES CHAMBILLA, ANGEL</v>
      </c>
      <c r="M27" s="341" t="s">
        <v>105</v>
      </c>
      <c r="N27" s="341" t="s">
        <v>104</v>
      </c>
      <c r="O27" s="341" t="s">
        <v>315</v>
      </c>
      <c r="P27" s="341" t="str">
        <f t="shared" si="2"/>
        <v>CACERES CHAMBILLA, ANGEL</v>
      </c>
      <c r="Q27" s="345">
        <v>1260439</v>
      </c>
      <c r="R27" s="341" t="s">
        <v>322</v>
      </c>
      <c r="S27" s="341" t="s">
        <v>212</v>
      </c>
      <c r="T27" s="341" t="s">
        <v>323</v>
      </c>
      <c r="U27" s="342" t="s">
        <v>333</v>
      </c>
      <c r="V27" s="341" t="s">
        <v>181</v>
      </c>
      <c r="W27" s="341" t="s">
        <v>187</v>
      </c>
      <c r="X27" s="374" t="s">
        <v>213</v>
      </c>
      <c r="Y27" s="343">
        <v>44936</v>
      </c>
      <c r="Z27" s="343">
        <v>45291</v>
      </c>
      <c r="AA27" s="341" t="s">
        <v>188</v>
      </c>
      <c r="AB27" s="341" t="s">
        <v>184</v>
      </c>
    </row>
    <row r="28" spans="1:28" s="341" customFormat="1" x14ac:dyDescent="0.2">
      <c r="A28" s="340">
        <v>1260439</v>
      </c>
      <c r="B28" s="178" t="str">
        <f t="shared" si="5"/>
        <v>ESTATAL DE TOLAPALCAJER-EIB2</v>
      </c>
      <c r="C28" s="341" t="s">
        <v>126</v>
      </c>
      <c r="D28" s="341" t="s">
        <v>478</v>
      </c>
      <c r="E28" s="342">
        <v>2</v>
      </c>
      <c r="F28" s="341" t="s">
        <v>314</v>
      </c>
      <c r="G28" s="341" t="s">
        <v>174</v>
      </c>
      <c r="H28" s="341" t="s">
        <v>140</v>
      </c>
      <c r="I28" s="341" t="s">
        <v>176</v>
      </c>
      <c r="J28" s="341" t="s">
        <v>238</v>
      </c>
      <c r="K28" s="341" t="s">
        <v>100</v>
      </c>
      <c r="L28" s="341" t="str">
        <f t="shared" si="6"/>
        <v>PROFESOR: CASILLA MALDONADO, WILLIAM PEDRO</v>
      </c>
      <c r="M28" s="341" t="s">
        <v>101</v>
      </c>
      <c r="N28" s="341" t="s">
        <v>190</v>
      </c>
      <c r="O28" s="341" t="s">
        <v>239</v>
      </c>
      <c r="P28" s="341" t="str">
        <f t="shared" si="2"/>
        <v>CASILLA MALDONADO, WILLIAM PEDRO</v>
      </c>
      <c r="Q28" s="345">
        <v>1260439</v>
      </c>
      <c r="R28" s="341" t="s">
        <v>400</v>
      </c>
      <c r="S28" s="341" t="s">
        <v>401</v>
      </c>
      <c r="T28" s="341" t="s">
        <v>402</v>
      </c>
      <c r="U28" s="342" t="s">
        <v>331</v>
      </c>
      <c r="V28" s="341" t="s">
        <v>186</v>
      </c>
      <c r="W28" s="341" t="s">
        <v>187</v>
      </c>
      <c r="X28" s="374" t="s">
        <v>406</v>
      </c>
      <c r="Y28" s="343">
        <v>44986</v>
      </c>
      <c r="Z28" s="343">
        <v>45291</v>
      </c>
      <c r="AA28" s="341" t="s">
        <v>188</v>
      </c>
      <c r="AB28" s="341" t="s">
        <v>193</v>
      </c>
    </row>
    <row r="29" spans="1:28" s="341" customFormat="1" x14ac:dyDescent="0.2">
      <c r="A29" s="340">
        <v>1260439</v>
      </c>
      <c r="B29" s="178" t="str">
        <f t="shared" si="5"/>
        <v>ESTATAL DE TOLAPALCAJER-EIB3</v>
      </c>
      <c r="C29" s="341" t="s">
        <v>126</v>
      </c>
      <c r="D29" s="341" t="s">
        <v>478</v>
      </c>
      <c r="E29" s="342">
        <v>3</v>
      </c>
      <c r="F29" s="341" t="s">
        <v>314</v>
      </c>
      <c r="G29" s="341" t="s">
        <v>174</v>
      </c>
      <c r="H29" s="341" t="s">
        <v>140</v>
      </c>
      <c r="I29" s="341" t="s">
        <v>176</v>
      </c>
      <c r="J29" s="341" t="s">
        <v>240</v>
      </c>
      <c r="K29" s="341" t="s">
        <v>100</v>
      </c>
      <c r="L29" s="341" t="str">
        <f t="shared" si="6"/>
        <v>PROFESOR: PACORI PACORI, RENE</v>
      </c>
      <c r="M29" s="341" t="s">
        <v>101</v>
      </c>
      <c r="N29" s="341" t="s">
        <v>190</v>
      </c>
      <c r="O29" s="341" t="s">
        <v>399</v>
      </c>
      <c r="P29" s="341" t="str">
        <f t="shared" si="2"/>
        <v>PACORI PACORI, RENE</v>
      </c>
      <c r="Q29" s="345">
        <v>1260439</v>
      </c>
      <c r="R29" s="341" t="s">
        <v>403</v>
      </c>
      <c r="S29" s="341" t="s">
        <v>403</v>
      </c>
      <c r="T29" s="341" t="s">
        <v>388</v>
      </c>
      <c r="U29" s="342" t="s">
        <v>331</v>
      </c>
      <c r="V29" s="341" t="s">
        <v>186</v>
      </c>
      <c r="W29" s="341" t="s">
        <v>187</v>
      </c>
      <c r="X29" s="374" t="s">
        <v>289</v>
      </c>
      <c r="Y29" s="343">
        <v>44986</v>
      </c>
      <c r="Z29" s="343">
        <v>45291</v>
      </c>
      <c r="AA29" s="341" t="s">
        <v>188</v>
      </c>
      <c r="AB29" s="341" t="s">
        <v>193</v>
      </c>
    </row>
    <row r="30" spans="1:28" s="341" customFormat="1" x14ac:dyDescent="0.2">
      <c r="A30" s="340">
        <v>1260439</v>
      </c>
      <c r="B30" s="178" t="str">
        <f t="shared" si="5"/>
        <v>ESTATAL DE TOLAPALCAJER-EIB4</v>
      </c>
      <c r="C30" s="341" t="s">
        <v>126</v>
      </c>
      <c r="D30" s="341" t="s">
        <v>478</v>
      </c>
      <c r="E30" s="342">
        <v>4</v>
      </c>
      <c r="F30" s="341" t="s">
        <v>314</v>
      </c>
      <c r="G30" s="341" t="s">
        <v>174</v>
      </c>
      <c r="H30" s="341" t="s">
        <v>140</v>
      </c>
      <c r="I30" s="341" t="s">
        <v>176</v>
      </c>
      <c r="J30" s="341" t="s">
        <v>241</v>
      </c>
      <c r="K30" s="341" t="s">
        <v>100</v>
      </c>
      <c r="L30" s="341" t="str">
        <f t="shared" si="6"/>
        <v>PROFESOR: FLORES MAMANI, PEDRO DAVID</v>
      </c>
      <c r="M30" s="341" t="s">
        <v>101</v>
      </c>
      <c r="N30" s="341" t="s">
        <v>190</v>
      </c>
      <c r="O30" s="341" t="s">
        <v>242</v>
      </c>
      <c r="P30" s="341" t="str">
        <f t="shared" si="2"/>
        <v>FLORES MAMANI, PEDRO DAVID</v>
      </c>
      <c r="Q30" s="345">
        <v>1260439</v>
      </c>
      <c r="R30" s="341" t="s">
        <v>378</v>
      </c>
      <c r="S30" s="341" t="s">
        <v>198</v>
      </c>
      <c r="T30" s="341" t="s">
        <v>404</v>
      </c>
      <c r="U30" s="342" t="s">
        <v>331</v>
      </c>
      <c r="V30" s="341" t="s">
        <v>186</v>
      </c>
      <c r="W30" s="341" t="s">
        <v>187</v>
      </c>
      <c r="X30" s="374" t="s">
        <v>407</v>
      </c>
      <c r="Y30" s="343">
        <v>44998</v>
      </c>
      <c r="Z30" s="343">
        <v>45291</v>
      </c>
      <c r="AA30" s="341" t="s">
        <v>188</v>
      </c>
      <c r="AB30" s="341" t="s">
        <v>193</v>
      </c>
    </row>
    <row r="31" spans="1:28" s="341" customFormat="1" x14ac:dyDescent="0.2">
      <c r="A31" s="340">
        <v>1260439</v>
      </c>
      <c r="B31" s="178" t="str">
        <f t="shared" si="5"/>
        <v>ESTATAL DE TOLAPALCAJER-EIB5</v>
      </c>
      <c r="C31" s="341" t="s">
        <v>126</v>
      </c>
      <c r="D31" s="341" t="s">
        <v>478</v>
      </c>
      <c r="E31" s="342">
        <v>5</v>
      </c>
      <c r="F31" s="341" t="s">
        <v>314</v>
      </c>
      <c r="G31" s="341" t="s">
        <v>174</v>
      </c>
      <c r="H31" s="341" t="s">
        <v>140</v>
      </c>
      <c r="I31" s="341" t="s">
        <v>176</v>
      </c>
      <c r="J31" s="341" t="s">
        <v>243</v>
      </c>
      <c r="K31" s="341" t="s">
        <v>100</v>
      </c>
      <c r="L31" s="341" t="str">
        <f t="shared" si="6"/>
        <v>PROFESOR: CASILLA CACERES, HAYDE NANCY</v>
      </c>
      <c r="M31" s="341" t="s">
        <v>101</v>
      </c>
      <c r="N31" s="341" t="s">
        <v>190</v>
      </c>
      <c r="O31" s="341" t="s">
        <v>244</v>
      </c>
      <c r="P31" s="341" t="str">
        <f t="shared" si="2"/>
        <v>CASILLA CACERES, HAYDE NANCY</v>
      </c>
      <c r="Q31" s="345">
        <v>1260439</v>
      </c>
      <c r="R31" s="341" t="s">
        <v>400</v>
      </c>
      <c r="S31" s="341" t="s">
        <v>322</v>
      </c>
      <c r="T31" s="341" t="s">
        <v>405</v>
      </c>
      <c r="U31" s="342" t="s">
        <v>331</v>
      </c>
      <c r="V31" s="341" t="s">
        <v>186</v>
      </c>
      <c r="W31" s="341" t="s">
        <v>187</v>
      </c>
      <c r="X31" s="374" t="s">
        <v>408</v>
      </c>
      <c r="Y31" s="343">
        <v>45005</v>
      </c>
      <c r="Z31" s="343">
        <v>45291</v>
      </c>
      <c r="AA31" s="341" t="s">
        <v>188</v>
      </c>
      <c r="AB31" s="341" t="s">
        <v>193</v>
      </c>
    </row>
    <row r="32" spans="1:28" s="193" customFormat="1" x14ac:dyDescent="0.2">
      <c r="A32" s="192">
        <v>1373596</v>
      </c>
      <c r="B32" s="178" t="str">
        <f t="shared" si="5"/>
        <v>CORONEL ALFONSO UGARTEJER-EIB1</v>
      </c>
      <c r="C32" s="193" t="s">
        <v>131</v>
      </c>
      <c r="D32" s="193" t="s">
        <v>478</v>
      </c>
      <c r="E32" s="194">
        <v>1</v>
      </c>
      <c r="F32" s="193" t="s">
        <v>314</v>
      </c>
      <c r="G32" s="193" t="s">
        <v>174</v>
      </c>
      <c r="H32" s="193" t="s">
        <v>140</v>
      </c>
      <c r="I32" s="193" t="s">
        <v>176</v>
      </c>
      <c r="J32" s="193" t="s">
        <v>227</v>
      </c>
      <c r="K32" s="193" t="s">
        <v>103</v>
      </c>
      <c r="L32" s="193" t="str">
        <f t="shared" si="6"/>
        <v>DIRECTOR I.E.: CHURA CCAMA, JULIO</v>
      </c>
      <c r="M32" s="193" t="s">
        <v>105</v>
      </c>
      <c r="N32" s="193" t="s">
        <v>104</v>
      </c>
      <c r="O32" s="193" t="s">
        <v>228</v>
      </c>
      <c r="P32" s="193" t="str">
        <f t="shared" si="2"/>
        <v>CHURA CCAMA, JULIO</v>
      </c>
      <c r="Q32" s="346">
        <v>1373596</v>
      </c>
      <c r="R32" s="193" t="s">
        <v>324</v>
      </c>
      <c r="S32" s="193" t="s">
        <v>325</v>
      </c>
      <c r="T32" s="193" t="s">
        <v>326</v>
      </c>
      <c r="U32" s="194" t="s">
        <v>334</v>
      </c>
      <c r="V32" s="193" t="s">
        <v>181</v>
      </c>
      <c r="W32" s="193" t="s">
        <v>187</v>
      </c>
      <c r="X32" s="375" t="s">
        <v>270</v>
      </c>
      <c r="Y32" s="195">
        <v>44936</v>
      </c>
      <c r="Z32" s="195">
        <v>45291</v>
      </c>
      <c r="AA32" s="193" t="s">
        <v>188</v>
      </c>
      <c r="AB32" s="193" t="s">
        <v>184</v>
      </c>
    </row>
    <row r="33" spans="1:28" s="193" customFormat="1" x14ac:dyDescent="0.2">
      <c r="A33" s="192">
        <v>1373596</v>
      </c>
      <c r="B33" s="178" t="str">
        <f t="shared" si="5"/>
        <v>CORONEL ALFONSO UGARTEJER-EIB2</v>
      </c>
      <c r="C33" s="193" t="s">
        <v>131</v>
      </c>
      <c r="D33" s="193" t="s">
        <v>478</v>
      </c>
      <c r="E33" s="194">
        <v>2</v>
      </c>
      <c r="F33" s="193" t="s">
        <v>314</v>
      </c>
      <c r="G33" s="193" t="s">
        <v>174</v>
      </c>
      <c r="H33" s="193" t="s">
        <v>140</v>
      </c>
      <c r="I33" s="193" t="s">
        <v>176</v>
      </c>
      <c r="J33" s="193" t="s">
        <v>409</v>
      </c>
      <c r="K33" s="193" t="s">
        <v>100</v>
      </c>
      <c r="L33" s="193" t="str">
        <f t="shared" si="6"/>
        <v>PROFESOR: COLQUEHUANCA VILCA, ROLANDO</v>
      </c>
      <c r="M33" s="193" t="s">
        <v>101</v>
      </c>
      <c r="N33" s="193" t="s">
        <v>190</v>
      </c>
      <c r="O33" s="193" t="s">
        <v>229</v>
      </c>
      <c r="P33" s="193" t="str">
        <f t="shared" si="2"/>
        <v>COLQUEHUANCA VILCA, ROLANDO</v>
      </c>
      <c r="Q33" s="346">
        <v>1373596</v>
      </c>
      <c r="R33" s="193" t="s">
        <v>413</v>
      </c>
      <c r="S33" s="193" t="s">
        <v>414</v>
      </c>
      <c r="T33" s="193" t="s">
        <v>415</v>
      </c>
      <c r="U33" s="194" t="s">
        <v>331</v>
      </c>
      <c r="V33" s="193" t="s">
        <v>186</v>
      </c>
      <c r="W33" s="193" t="s">
        <v>187</v>
      </c>
      <c r="X33" s="375" t="s">
        <v>426</v>
      </c>
      <c r="Y33" s="195">
        <v>44986</v>
      </c>
      <c r="Z33" s="195">
        <v>45291</v>
      </c>
      <c r="AA33" s="193" t="s">
        <v>188</v>
      </c>
      <c r="AB33" s="193" t="s">
        <v>193</v>
      </c>
    </row>
    <row r="34" spans="1:28" s="193" customFormat="1" x14ac:dyDescent="0.2">
      <c r="A34" s="192">
        <v>1373596</v>
      </c>
      <c r="B34" s="178" t="str">
        <f t="shared" si="5"/>
        <v>CORONEL ALFONSO UGARTEJER-EIB3</v>
      </c>
      <c r="C34" s="193" t="s">
        <v>131</v>
      </c>
      <c r="D34" s="193" t="s">
        <v>478</v>
      </c>
      <c r="E34" s="194">
        <v>3</v>
      </c>
      <c r="F34" s="193" t="s">
        <v>314</v>
      </c>
      <c r="G34" s="193" t="s">
        <v>174</v>
      </c>
      <c r="H34" s="193" t="s">
        <v>140</v>
      </c>
      <c r="I34" s="193" t="s">
        <v>176</v>
      </c>
      <c r="J34" s="193" t="s">
        <v>410</v>
      </c>
      <c r="K34" s="193" t="s">
        <v>100</v>
      </c>
      <c r="L34" s="193" t="str">
        <f t="shared" si="6"/>
        <v>PROFESOR: ZAPANA COILA, YENY</v>
      </c>
      <c r="M34" s="193" t="s">
        <v>101</v>
      </c>
      <c r="N34" s="193" t="s">
        <v>190</v>
      </c>
      <c r="O34" s="193" t="s">
        <v>229</v>
      </c>
      <c r="P34" s="193" t="str">
        <f t="shared" si="2"/>
        <v>ZAPANA COILA, YENY</v>
      </c>
      <c r="Q34" s="346">
        <v>1373596</v>
      </c>
      <c r="R34" s="193" t="s">
        <v>373</v>
      </c>
      <c r="S34" s="193" t="s">
        <v>416</v>
      </c>
      <c r="T34" s="193" t="s">
        <v>417</v>
      </c>
      <c r="U34" s="194" t="s">
        <v>331</v>
      </c>
      <c r="V34" s="193" t="s">
        <v>186</v>
      </c>
      <c r="W34" s="193" t="s">
        <v>187</v>
      </c>
      <c r="X34" s="375" t="s">
        <v>427</v>
      </c>
      <c r="Y34" s="195">
        <v>44998</v>
      </c>
      <c r="Z34" s="195">
        <v>45291</v>
      </c>
      <c r="AA34" s="193" t="s">
        <v>188</v>
      </c>
      <c r="AB34" s="193" t="s">
        <v>193</v>
      </c>
    </row>
    <row r="35" spans="1:28" s="193" customFormat="1" x14ac:dyDescent="0.2">
      <c r="A35" s="192">
        <v>1373596</v>
      </c>
      <c r="B35" s="178" t="str">
        <f t="shared" si="5"/>
        <v>CORONEL ALFONSO UGARTEJER-EIB4</v>
      </c>
      <c r="C35" s="193" t="s">
        <v>131</v>
      </c>
      <c r="D35" s="193" t="s">
        <v>478</v>
      </c>
      <c r="E35" s="194">
        <v>4</v>
      </c>
      <c r="F35" s="193" t="s">
        <v>314</v>
      </c>
      <c r="G35" s="193" t="s">
        <v>174</v>
      </c>
      <c r="H35" s="193" t="s">
        <v>140</v>
      </c>
      <c r="I35" s="193" t="s">
        <v>176</v>
      </c>
      <c r="J35" s="193" t="s">
        <v>411</v>
      </c>
      <c r="K35" s="193" t="s">
        <v>100</v>
      </c>
      <c r="L35" s="193" t="str">
        <f t="shared" si="6"/>
        <v>PROFESOR: NINA NUÑEZ DEL PRADO, EDWIN WILLIAM</v>
      </c>
      <c r="M35" s="193" t="s">
        <v>101</v>
      </c>
      <c r="N35" s="193" t="s">
        <v>190</v>
      </c>
      <c r="O35" s="193" t="s">
        <v>229</v>
      </c>
      <c r="P35" s="193" t="str">
        <f t="shared" si="2"/>
        <v>NINA NUÑEZ DEL PRADO, EDWIN WILLIAM</v>
      </c>
      <c r="Q35" s="346">
        <v>1373596</v>
      </c>
      <c r="R35" s="193" t="s">
        <v>418</v>
      </c>
      <c r="S35" s="193" t="s">
        <v>419</v>
      </c>
      <c r="T35" s="193" t="s">
        <v>420</v>
      </c>
      <c r="U35" s="194" t="s">
        <v>331</v>
      </c>
      <c r="V35" s="193" t="s">
        <v>186</v>
      </c>
      <c r="W35" s="193" t="s">
        <v>431</v>
      </c>
      <c r="X35" s="375" t="s">
        <v>192</v>
      </c>
      <c r="Y35" s="195">
        <v>44986</v>
      </c>
      <c r="Z35" s="195">
        <v>45291</v>
      </c>
      <c r="AA35" s="193" t="s">
        <v>188</v>
      </c>
      <c r="AB35" s="193" t="s">
        <v>193</v>
      </c>
    </row>
    <row r="36" spans="1:28" s="193" customFormat="1" x14ac:dyDescent="0.2">
      <c r="A36" s="192">
        <v>1373596</v>
      </c>
      <c r="B36" s="178" t="str">
        <f t="shared" si="5"/>
        <v>CORONEL ALFONSO UGARTEJER-EIB5</v>
      </c>
      <c r="C36" s="193" t="s">
        <v>131</v>
      </c>
      <c r="D36" s="193" t="s">
        <v>478</v>
      </c>
      <c r="E36" s="194">
        <v>5</v>
      </c>
      <c r="F36" s="193" t="s">
        <v>314</v>
      </c>
      <c r="G36" s="193" t="s">
        <v>174</v>
      </c>
      <c r="H36" s="193" t="s">
        <v>140</v>
      </c>
      <c r="I36" s="193" t="s">
        <v>176</v>
      </c>
      <c r="J36" s="193" t="s">
        <v>230</v>
      </c>
      <c r="K36" s="193" t="s">
        <v>100</v>
      </c>
      <c r="L36" s="193" t="str">
        <f t="shared" si="6"/>
        <v>PROFESOR: CHAMBILLA PARIZACA, SONIA VERONICA</v>
      </c>
      <c r="M36" s="193" t="s">
        <v>101</v>
      </c>
      <c r="N36" s="193" t="s">
        <v>190</v>
      </c>
      <c r="O36" s="193" t="s">
        <v>231</v>
      </c>
      <c r="P36" s="193" t="str">
        <f t="shared" si="2"/>
        <v>CHAMBILLA PARIZACA, SONIA VERONICA</v>
      </c>
      <c r="Q36" s="346">
        <v>1373596</v>
      </c>
      <c r="R36" s="193" t="s">
        <v>212</v>
      </c>
      <c r="S36" s="193" t="s">
        <v>362</v>
      </c>
      <c r="T36" s="193" t="s">
        <v>421</v>
      </c>
      <c r="U36" s="194" t="s">
        <v>331</v>
      </c>
      <c r="V36" s="193" t="s">
        <v>186</v>
      </c>
      <c r="W36" s="193" t="s">
        <v>187</v>
      </c>
      <c r="X36" s="375" t="s">
        <v>428</v>
      </c>
      <c r="Y36" s="195">
        <v>44986</v>
      </c>
      <c r="Z36" s="195">
        <v>45291</v>
      </c>
      <c r="AA36" s="193" t="s">
        <v>188</v>
      </c>
      <c r="AB36" s="193" t="s">
        <v>193</v>
      </c>
    </row>
    <row r="37" spans="1:28" s="193" customFormat="1" x14ac:dyDescent="0.2">
      <c r="A37" s="192">
        <v>1373596</v>
      </c>
      <c r="B37" s="178" t="str">
        <f t="shared" ref="B37:B43" si="7">C37&amp;D37&amp;E37</f>
        <v>CORONEL ALFONSO UGARTEJER-EIB6</v>
      </c>
      <c r="C37" s="193" t="s">
        <v>131</v>
      </c>
      <c r="D37" s="193" t="s">
        <v>478</v>
      </c>
      <c r="E37" s="194">
        <v>6</v>
      </c>
      <c r="F37" s="193" t="s">
        <v>314</v>
      </c>
      <c r="G37" s="193" t="s">
        <v>174</v>
      </c>
      <c r="H37" s="193" t="s">
        <v>140</v>
      </c>
      <c r="I37" s="193" t="s">
        <v>176</v>
      </c>
      <c r="J37" s="193" t="s">
        <v>232</v>
      </c>
      <c r="K37" s="193" t="s">
        <v>100</v>
      </c>
      <c r="L37" s="193" t="str">
        <f t="shared" si="6"/>
        <v>PROFESOR: TANTANI CHOQUE, PEDRO MIGUEL</v>
      </c>
      <c r="M37" s="193" t="s">
        <v>101</v>
      </c>
      <c r="N37" s="193" t="s">
        <v>102</v>
      </c>
      <c r="O37" s="193" t="s">
        <v>199</v>
      </c>
      <c r="P37" s="193" t="str">
        <f t="shared" si="2"/>
        <v>TANTANI CHOQUE, PEDRO MIGUEL</v>
      </c>
      <c r="Q37" s="346">
        <v>1373596</v>
      </c>
      <c r="R37" s="193" t="s">
        <v>422</v>
      </c>
      <c r="S37" s="193" t="s">
        <v>360</v>
      </c>
      <c r="T37" s="193" t="s">
        <v>423</v>
      </c>
      <c r="U37" s="194" t="s">
        <v>334</v>
      </c>
      <c r="V37" s="193" t="s">
        <v>186</v>
      </c>
      <c r="W37" s="193" t="s">
        <v>187</v>
      </c>
      <c r="X37" s="375" t="s">
        <v>429</v>
      </c>
      <c r="Y37" s="195"/>
      <c r="Z37" s="195"/>
      <c r="AA37" s="193" t="s">
        <v>188</v>
      </c>
      <c r="AB37" s="193" t="s">
        <v>184</v>
      </c>
    </row>
    <row r="38" spans="1:28" s="193" customFormat="1" x14ac:dyDescent="0.2">
      <c r="A38" s="192">
        <v>1373596</v>
      </c>
      <c r="B38" s="178" t="str">
        <f t="shared" si="7"/>
        <v>CORONEL ALFONSO UGARTEJER-EIB7</v>
      </c>
      <c r="C38" s="193" t="s">
        <v>131</v>
      </c>
      <c r="D38" s="193" t="s">
        <v>478</v>
      </c>
      <c r="E38" s="194">
        <v>7</v>
      </c>
      <c r="F38" s="193" t="s">
        <v>314</v>
      </c>
      <c r="G38" s="193" t="s">
        <v>174</v>
      </c>
      <c r="H38" s="193" t="s">
        <v>140</v>
      </c>
      <c r="I38" s="193" t="s">
        <v>176</v>
      </c>
      <c r="J38" s="193" t="s">
        <v>233</v>
      </c>
      <c r="K38" s="193" t="s">
        <v>100</v>
      </c>
      <c r="L38" s="193" t="str">
        <f t="shared" ref="L38:L43" si="8">M38&amp;": "&amp;P38</f>
        <v>PROFESOR: MENDOZA LLANOS, MARTINA</v>
      </c>
      <c r="M38" s="193" t="s">
        <v>101</v>
      </c>
      <c r="N38" s="193" t="s">
        <v>190</v>
      </c>
      <c r="O38" s="193" t="s">
        <v>412</v>
      </c>
      <c r="P38" s="193" t="str">
        <f t="shared" si="2"/>
        <v>MENDOZA LLANOS, MARTINA</v>
      </c>
      <c r="Q38" s="346">
        <v>1373596</v>
      </c>
      <c r="R38" s="193" t="s">
        <v>218</v>
      </c>
      <c r="S38" s="193" t="s">
        <v>424</v>
      </c>
      <c r="T38" s="193" t="s">
        <v>425</v>
      </c>
      <c r="U38" s="194" t="s">
        <v>331</v>
      </c>
      <c r="V38" s="193" t="s">
        <v>186</v>
      </c>
      <c r="W38" s="193" t="s">
        <v>431</v>
      </c>
      <c r="X38" s="375" t="s">
        <v>430</v>
      </c>
      <c r="Y38" s="195">
        <v>44998</v>
      </c>
      <c r="Z38" s="195">
        <v>45291</v>
      </c>
      <c r="AA38" s="193" t="s">
        <v>188</v>
      </c>
      <c r="AB38" s="193" t="s">
        <v>193</v>
      </c>
    </row>
    <row r="39" spans="1:28" s="197" customFormat="1" x14ac:dyDescent="0.2">
      <c r="A39" s="196">
        <v>1373604</v>
      </c>
      <c r="B39" s="178" t="str">
        <f t="shared" si="7"/>
        <v>SAN IGNACIO DE LOYOLAJER-EIB1</v>
      </c>
      <c r="C39" s="197" t="s">
        <v>130</v>
      </c>
      <c r="D39" s="197" t="s">
        <v>478</v>
      </c>
      <c r="E39" s="198">
        <v>1</v>
      </c>
      <c r="F39" s="197" t="s">
        <v>314</v>
      </c>
      <c r="G39" s="197" t="s">
        <v>174</v>
      </c>
      <c r="H39" s="197" t="s">
        <v>140</v>
      </c>
      <c r="I39" s="197" t="s">
        <v>176</v>
      </c>
      <c r="J39" s="197" t="s">
        <v>313</v>
      </c>
      <c r="K39" s="197" t="s">
        <v>103</v>
      </c>
      <c r="L39" s="197" t="str">
        <f t="shared" si="8"/>
        <v>DIRECTOR I.E.: ASENCIO RAMOS, SANTOS</v>
      </c>
      <c r="M39" s="197" t="s">
        <v>105</v>
      </c>
      <c r="N39" s="197" t="s">
        <v>106</v>
      </c>
      <c r="O39" s="197" t="s">
        <v>177</v>
      </c>
      <c r="P39" s="197" t="str">
        <f t="shared" si="2"/>
        <v>ASENCIO RAMOS, SANTOS</v>
      </c>
      <c r="Q39" s="347">
        <v>1373604</v>
      </c>
      <c r="R39" s="197" t="s">
        <v>178</v>
      </c>
      <c r="S39" s="197" t="s">
        <v>179</v>
      </c>
      <c r="T39" s="197" t="s">
        <v>180</v>
      </c>
      <c r="U39" s="198" t="s">
        <v>332</v>
      </c>
      <c r="V39" s="197" t="s">
        <v>181</v>
      </c>
      <c r="W39" s="197" t="s">
        <v>182</v>
      </c>
      <c r="X39" s="376" t="s">
        <v>183</v>
      </c>
      <c r="Y39" s="199">
        <v>45047</v>
      </c>
      <c r="Z39" s="199">
        <v>46507</v>
      </c>
      <c r="AA39" s="197" t="s">
        <v>188</v>
      </c>
      <c r="AB39" s="197" t="s">
        <v>184</v>
      </c>
    </row>
    <row r="40" spans="1:28" s="197" customFormat="1" x14ac:dyDescent="0.2">
      <c r="A40" s="196">
        <v>1373604</v>
      </c>
      <c r="B40" s="178" t="str">
        <f t="shared" si="7"/>
        <v>SAN IGNACIO DE LOYOLAJER-EIB2</v>
      </c>
      <c r="C40" s="197" t="s">
        <v>130</v>
      </c>
      <c r="D40" s="197" t="s">
        <v>478</v>
      </c>
      <c r="E40" s="198">
        <v>2</v>
      </c>
      <c r="F40" s="197" t="s">
        <v>314</v>
      </c>
      <c r="G40" s="197" t="s">
        <v>174</v>
      </c>
      <c r="H40" s="197" t="s">
        <v>140</v>
      </c>
      <c r="I40" s="197" t="s">
        <v>176</v>
      </c>
      <c r="J40" s="197" t="s">
        <v>189</v>
      </c>
      <c r="K40" s="197" t="s">
        <v>100</v>
      </c>
      <c r="L40" s="197" t="str">
        <f t="shared" si="8"/>
        <v>PROFESOR: ARPASI GOMEZ, HENRY WALTER</v>
      </c>
      <c r="M40" s="197" t="s">
        <v>101</v>
      </c>
      <c r="N40" s="197" t="s">
        <v>190</v>
      </c>
      <c r="O40" s="197" t="s">
        <v>191</v>
      </c>
      <c r="P40" s="197" t="str">
        <f t="shared" si="2"/>
        <v>ARPASI GOMEZ, HENRY WALTER</v>
      </c>
      <c r="Q40" s="347">
        <v>1373604</v>
      </c>
      <c r="R40" s="197" t="s">
        <v>433</v>
      </c>
      <c r="S40" s="197" t="s">
        <v>434</v>
      </c>
      <c r="T40" s="197" t="s">
        <v>435</v>
      </c>
      <c r="U40" s="198" t="s">
        <v>331</v>
      </c>
      <c r="V40" s="197" t="s">
        <v>186</v>
      </c>
      <c r="W40" s="197" t="s">
        <v>187</v>
      </c>
      <c r="X40" s="376" t="s">
        <v>226</v>
      </c>
      <c r="Y40" s="199">
        <v>44986</v>
      </c>
      <c r="Z40" s="199">
        <v>45291</v>
      </c>
      <c r="AA40" s="197" t="s">
        <v>188</v>
      </c>
      <c r="AB40" s="197" t="s">
        <v>193</v>
      </c>
    </row>
    <row r="41" spans="1:28" s="197" customFormat="1" x14ac:dyDescent="0.2">
      <c r="A41" s="196">
        <v>1373604</v>
      </c>
      <c r="B41" s="178" t="str">
        <f t="shared" si="7"/>
        <v>SAN IGNACIO DE LOYOLAJER-EIB3</v>
      </c>
      <c r="C41" s="197" t="s">
        <v>130</v>
      </c>
      <c r="D41" s="197" t="s">
        <v>478</v>
      </c>
      <c r="E41" s="198">
        <v>3</v>
      </c>
      <c r="F41" s="197" t="s">
        <v>314</v>
      </c>
      <c r="G41" s="197" t="s">
        <v>174</v>
      </c>
      <c r="H41" s="197" t="s">
        <v>140</v>
      </c>
      <c r="I41" s="197" t="s">
        <v>176</v>
      </c>
      <c r="J41" s="197" t="s">
        <v>185</v>
      </c>
      <c r="K41" s="197" t="s">
        <v>100</v>
      </c>
      <c r="L41" s="197" t="str">
        <f t="shared" si="8"/>
        <v>PROFESOR: CHATA COLQUE, EDGAR</v>
      </c>
      <c r="M41" s="197" t="s">
        <v>101</v>
      </c>
      <c r="N41" s="197" t="s">
        <v>190</v>
      </c>
      <c r="O41" s="197" t="s">
        <v>432</v>
      </c>
      <c r="P41" s="197" t="str">
        <f t="shared" si="2"/>
        <v>CHATA COLQUE, EDGAR</v>
      </c>
      <c r="Q41" s="347">
        <v>1373604</v>
      </c>
      <c r="R41" s="197" t="s">
        <v>436</v>
      </c>
      <c r="S41" s="197" t="s">
        <v>437</v>
      </c>
      <c r="T41" s="197" t="s">
        <v>438</v>
      </c>
      <c r="U41" s="198" t="s">
        <v>331</v>
      </c>
      <c r="V41" s="197" t="s">
        <v>186</v>
      </c>
      <c r="W41" s="197" t="s">
        <v>187</v>
      </c>
      <c r="X41" s="376" t="s">
        <v>245</v>
      </c>
      <c r="Y41" s="199">
        <v>44998</v>
      </c>
      <c r="Z41" s="199">
        <v>45291</v>
      </c>
      <c r="AA41" s="197" t="s">
        <v>188</v>
      </c>
      <c r="AB41" s="197" t="s">
        <v>193</v>
      </c>
    </row>
    <row r="42" spans="1:28" s="197" customFormat="1" x14ac:dyDescent="0.2">
      <c r="A42" s="196">
        <v>1373604</v>
      </c>
      <c r="B42" s="178" t="str">
        <f t="shared" si="7"/>
        <v>SAN IGNACIO DE LOYOLAJER-EIB4</v>
      </c>
      <c r="C42" s="197" t="s">
        <v>130</v>
      </c>
      <c r="D42" s="197" t="s">
        <v>478</v>
      </c>
      <c r="E42" s="198">
        <v>4</v>
      </c>
      <c r="F42" s="197" t="s">
        <v>314</v>
      </c>
      <c r="G42" s="197" t="s">
        <v>174</v>
      </c>
      <c r="H42" s="197" t="s">
        <v>140</v>
      </c>
      <c r="I42" s="197" t="s">
        <v>176</v>
      </c>
      <c r="J42" s="197" t="s">
        <v>194</v>
      </c>
      <c r="K42" s="197" t="s">
        <v>100</v>
      </c>
      <c r="L42" s="197" t="str">
        <f t="shared" si="8"/>
        <v>PROFESOR: CCAPIA CONDORI, FRANCISCA</v>
      </c>
      <c r="M42" s="197" t="s">
        <v>101</v>
      </c>
      <c r="N42" s="197" t="s">
        <v>190</v>
      </c>
      <c r="O42" s="197" t="s">
        <v>195</v>
      </c>
      <c r="P42" s="197" t="str">
        <f t="shared" si="2"/>
        <v>CCAPIA CONDORI, FRANCISCA</v>
      </c>
      <c r="Q42" s="347">
        <v>1373604</v>
      </c>
      <c r="R42" s="197" t="s">
        <v>439</v>
      </c>
      <c r="S42" s="197" t="s">
        <v>209</v>
      </c>
      <c r="T42" s="197" t="s">
        <v>440</v>
      </c>
      <c r="U42" s="198" t="s">
        <v>331</v>
      </c>
      <c r="V42" s="197" t="s">
        <v>186</v>
      </c>
      <c r="W42" s="197" t="s">
        <v>187</v>
      </c>
      <c r="X42" s="376" t="s">
        <v>443</v>
      </c>
      <c r="Y42" s="199">
        <v>44998</v>
      </c>
      <c r="Z42" s="199">
        <v>45291</v>
      </c>
      <c r="AA42" s="197" t="s">
        <v>188</v>
      </c>
      <c r="AB42" s="197" t="s">
        <v>193</v>
      </c>
    </row>
    <row r="43" spans="1:28" s="197" customFormat="1" x14ac:dyDescent="0.2">
      <c r="A43" s="196">
        <v>1373604</v>
      </c>
      <c r="B43" s="178" t="str">
        <f t="shared" si="7"/>
        <v>SAN IGNACIO DE LOYOLAJER-EIB5</v>
      </c>
      <c r="C43" s="197" t="s">
        <v>130</v>
      </c>
      <c r="D43" s="197" t="s">
        <v>478</v>
      </c>
      <c r="E43" s="198">
        <v>5</v>
      </c>
      <c r="F43" s="197" t="s">
        <v>314</v>
      </c>
      <c r="G43" s="197" t="s">
        <v>174</v>
      </c>
      <c r="H43" s="197" t="s">
        <v>140</v>
      </c>
      <c r="I43" s="197" t="s">
        <v>176</v>
      </c>
      <c r="J43" s="197" t="s">
        <v>196</v>
      </c>
      <c r="K43" s="197" t="s">
        <v>100</v>
      </c>
      <c r="L43" s="197" t="str">
        <f t="shared" si="8"/>
        <v>PROFESOR: ARO ARO, ROGELIO ROMAN</v>
      </c>
      <c r="M43" s="197" t="s">
        <v>101</v>
      </c>
      <c r="N43" s="197" t="s">
        <v>190</v>
      </c>
      <c r="O43" s="197" t="s">
        <v>197</v>
      </c>
      <c r="P43" s="197" t="str">
        <f t="shared" si="2"/>
        <v>ARO ARO, ROGELIO ROMAN</v>
      </c>
      <c r="Q43" s="347">
        <v>1373604</v>
      </c>
      <c r="R43" s="197" t="s">
        <v>441</v>
      </c>
      <c r="S43" s="197" t="s">
        <v>441</v>
      </c>
      <c r="T43" s="197" t="s">
        <v>442</v>
      </c>
      <c r="U43" s="198" t="s">
        <v>331</v>
      </c>
      <c r="V43" s="197" t="s">
        <v>186</v>
      </c>
      <c r="W43" s="197" t="s">
        <v>187</v>
      </c>
      <c r="X43" s="376" t="s">
        <v>444</v>
      </c>
      <c r="Y43" s="199">
        <v>44998</v>
      </c>
      <c r="Z43" s="199">
        <v>45291</v>
      </c>
      <c r="AA43" s="197" t="s">
        <v>188</v>
      </c>
      <c r="AB43" s="197" t="s">
        <v>193</v>
      </c>
    </row>
    <row r="44" spans="1:28" s="201" customFormat="1" x14ac:dyDescent="0.2">
      <c r="A44" s="200">
        <v>1545649</v>
      </c>
      <c r="B44" s="178" t="str">
        <f t="shared" ref="B44:B49" si="9">C44&amp;D44&amp;E44</f>
        <v>TECNICO AGROPECUARIO CHARAMAYAJER1</v>
      </c>
      <c r="C44" s="201" t="s">
        <v>132</v>
      </c>
      <c r="D44" s="201" t="s">
        <v>175</v>
      </c>
      <c r="E44" s="202">
        <v>1</v>
      </c>
      <c r="F44" s="201" t="s">
        <v>314</v>
      </c>
      <c r="G44" s="201" t="s">
        <v>174</v>
      </c>
      <c r="H44" s="201" t="s">
        <v>140</v>
      </c>
      <c r="I44" s="201" t="s">
        <v>176</v>
      </c>
      <c r="J44" s="201" t="s">
        <v>286</v>
      </c>
      <c r="K44" s="201" t="s">
        <v>103</v>
      </c>
      <c r="L44" s="201" t="str">
        <f t="shared" ref="L44:L49" si="10">M44&amp;": "&amp;P44</f>
        <v>DIRECTOR I.E.: CONDORI APAZA, LUIS ADOLFO</v>
      </c>
      <c r="M44" s="201" t="s">
        <v>105</v>
      </c>
      <c r="N44" s="201" t="s">
        <v>104</v>
      </c>
      <c r="O44" s="201" t="s">
        <v>271</v>
      </c>
      <c r="P44" s="201" t="str">
        <f t="shared" si="2"/>
        <v>CONDORI APAZA, LUIS ADOLFO</v>
      </c>
      <c r="Q44" s="348">
        <v>1545649</v>
      </c>
      <c r="R44" s="201" t="s">
        <v>209</v>
      </c>
      <c r="S44" s="201" t="s">
        <v>224</v>
      </c>
      <c r="T44" s="201" t="s">
        <v>327</v>
      </c>
      <c r="U44" s="202" t="s">
        <v>334</v>
      </c>
      <c r="V44" s="201" t="s">
        <v>181</v>
      </c>
      <c r="W44" s="201" t="s">
        <v>187</v>
      </c>
      <c r="X44" s="377" t="s">
        <v>251</v>
      </c>
      <c r="Y44" s="203">
        <v>44936</v>
      </c>
      <c r="Z44" s="203">
        <v>45291</v>
      </c>
      <c r="AA44" s="201" t="s">
        <v>188</v>
      </c>
      <c r="AB44" s="201" t="s">
        <v>184</v>
      </c>
    </row>
    <row r="45" spans="1:28" s="201" customFormat="1" x14ac:dyDescent="0.2">
      <c r="A45" s="200">
        <v>1545649</v>
      </c>
      <c r="B45" s="178" t="str">
        <f t="shared" si="9"/>
        <v>TECNICO AGROPECUARIO CHARAMAYAJER2</v>
      </c>
      <c r="C45" s="201" t="s">
        <v>132</v>
      </c>
      <c r="D45" s="201" t="s">
        <v>175</v>
      </c>
      <c r="E45" s="202">
        <v>2</v>
      </c>
      <c r="F45" s="201" t="s">
        <v>314</v>
      </c>
      <c r="G45" s="201" t="s">
        <v>174</v>
      </c>
      <c r="H45" s="201" t="s">
        <v>140</v>
      </c>
      <c r="I45" s="201" t="s">
        <v>176</v>
      </c>
      <c r="J45" s="201" t="s">
        <v>287</v>
      </c>
      <c r="K45" s="201" t="s">
        <v>100</v>
      </c>
      <c r="L45" s="201" t="str">
        <f t="shared" si="10"/>
        <v>PROFESOR: VIZCARRA CORI, VERGILIO RAUL</v>
      </c>
      <c r="M45" s="201" t="s">
        <v>101</v>
      </c>
      <c r="N45" s="201" t="s">
        <v>190</v>
      </c>
      <c r="O45" s="201" t="s">
        <v>288</v>
      </c>
      <c r="P45" s="201" t="str">
        <f t="shared" si="2"/>
        <v>VIZCARRA CORI, VERGILIO RAUL</v>
      </c>
      <c r="Q45" s="348">
        <v>1545649</v>
      </c>
      <c r="R45" s="201" t="s">
        <v>449</v>
      </c>
      <c r="S45" s="201" t="s">
        <v>450</v>
      </c>
      <c r="T45" s="201" t="s">
        <v>451</v>
      </c>
      <c r="U45" s="202" t="s">
        <v>331</v>
      </c>
      <c r="V45" s="201" t="s">
        <v>186</v>
      </c>
      <c r="W45" s="201" t="s">
        <v>187</v>
      </c>
      <c r="X45" s="377" t="s">
        <v>459</v>
      </c>
      <c r="Y45" s="203">
        <v>44998</v>
      </c>
      <c r="Z45" s="203">
        <v>45291</v>
      </c>
      <c r="AA45" s="201" t="s">
        <v>188</v>
      </c>
      <c r="AB45" s="201" t="s">
        <v>193</v>
      </c>
    </row>
    <row r="46" spans="1:28" s="201" customFormat="1" x14ac:dyDescent="0.2">
      <c r="A46" s="200">
        <v>1545649</v>
      </c>
      <c r="B46" s="178" t="str">
        <f t="shared" si="9"/>
        <v>TECNICO AGROPECUARIO CHARAMAYAJER3</v>
      </c>
      <c r="C46" s="201" t="s">
        <v>132</v>
      </c>
      <c r="D46" s="201" t="s">
        <v>175</v>
      </c>
      <c r="E46" s="202">
        <v>3</v>
      </c>
      <c r="F46" s="201" t="s">
        <v>314</v>
      </c>
      <c r="G46" s="201" t="s">
        <v>174</v>
      </c>
      <c r="H46" s="201" t="s">
        <v>140</v>
      </c>
      <c r="I46" s="201" t="s">
        <v>176</v>
      </c>
      <c r="J46" s="201" t="s">
        <v>445</v>
      </c>
      <c r="K46" s="201" t="s">
        <v>100</v>
      </c>
      <c r="L46" s="201" t="str">
        <f t="shared" si="10"/>
        <v>PROFESOR: RODRIGUEZ MAMANI, JACKELINE ALICIA</v>
      </c>
      <c r="M46" s="201" t="s">
        <v>101</v>
      </c>
      <c r="N46" s="201" t="s">
        <v>190</v>
      </c>
      <c r="O46" s="201" t="s">
        <v>229</v>
      </c>
      <c r="P46" s="201" t="str">
        <f t="shared" si="2"/>
        <v>RODRIGUEZ MAMANI, JACKELINE ALICIA</v>
      </c>
      <c r="Q46" s="348">
        <v>1545649</v>
      </c>
      <c r="R46" s="201" t="s">
        <v>452</v>
      </c>
      <c r="S46" s="201" t="s">
        <v>198</v>
      </c>
      <c r="T46" s="201" t="s">
        <v>453</v>
      </c>
      <c r="U46" s="202" t="s">
        <v>331</v>
      </c>
      <c r="V46" s="201" t="s">
        <v>186</v>
      </c>
      <c r="W46" s="201" t="s">
        <v>187</v>
      </c>
      <c r="X46" s="377" t="s">
        <v>460</v>
      </c>
      <c r="Y46" s="203">
        <v>44998</v>
      </c>
      <c r="Z46" s="203">
        <v>45291</v>
      </c>
      <c r="AA46" s="201" t="s">
        <v>188</v>
      </c>
      <c r="AB46" s="201" t="s">
        <v>193</v>
      </c>
    </row>
    <row r="47" spans="1:28" s="201" customFormat="1" x14ac:dyDescent="0.2">
      <c r="A47" s="200">
        <v>1545649</v>
      </c>
      <c r="B47" s="178" t="str">
        <f t="shared" si="9"/>
        <v>TECNICO AGROPECUARIO CHARAMAYAJER4</v>
      </c>
      <c r="C47" s="201" t="s">
        <v>132</v>
      </c>
      <c r="D47" s="201" t="s">
        <v>175</v>
      </c>
      <c r="E47" s="202">
        <v>4</v>
      </c>
      <c r="F47" s="201" t="s">
        <v>314</v>
      </c>
      <c r="G47" s="201" t="s">
        <v>174</v>
      </c>
      <c r="H47" s="201" t="s">
        <v>140</v>
      </c>
      <c r="I47" s="201" t="s">
        <v>176</v>
      </c>
      <c r="J47" s="201" t="s">
        <v>446</v>
      </c>
      <c r="K47" s="201" t="s">
        <v>100</v>
      </c>
      <c r="L47" s="201" t="str">
        <f t="shared" si="10"/>
        <v>PROFESOR: CARI CONDORI, EUGENIO CHIN</v>
      </c>
      <c r="M47" s="201" t="s">
        <v>101</v>
      </c>
      <c r="N47" s="201" t="s">
        <v>190</v>
      </c>
      <c r="O47" s="201" t="s">
        <v>229</v>
      </c>
      <c r="P47" s="201" t="str">
        <f t="shared" si="2"/>
        <v>CARI CONDORI, EUGENIO CHIN</v>
      </c>
      <c r="Q47" s="348">
        <v>1545649</v>
      </c>
      <c r="R47" s="201" t="s">
        <v>316</v>
      </c>
      <c r="S47" s="201" t="s">
        <v>209</v>
      </c>
      <c r="T47" s="201" t="s">
        <v>454</v>
      </c>
      <c r="U47" s="202" t="s">
        <v>331</v>
      </c>
      <c r="V47" s="201" t="s">
        <v>186</v>
      </c>
      <c r="W47" s="201" t="s">
        <v>187</v>
      </c>
      <c r="X47" s="377" t="s">
        <v>461</v>
      </c>
      <c r="Y47" s="203">
        <v>44986</v>
      </c>
      <c r="Z47" s="203">
        <v>45291</v>
      </c>
      <c r="AA47" s="201" t="s">
        <v>188</v>
      </c>
      <c r="AB47" s="201" t="s">
        <v>193</v>
      </c>
    </row>
    <row r="48" spans="1:28" s="201" customFormat="1" x14ac:dyDescent="0.2">
      <c r="A48" s="200">
        <v>1545649</v>
      </c>
      <c r="B48" s="178" t="str">
        <f t="shared" si="9"/>
        <v>TECNICO AGROPECUARIO CHARAMAYAJER5</v>
      </c>
      <c r="C48" s="201" t="s">
        <v>132</v>
      </c>
      <c r="D48" s="201" t="s">
        <v>175</v>
      </c>
      <c r="E48" s="202">
        <v>5</v>
      </c>
      <c r="F48" s="201" t="s">
        <v>314</v>
      </c>
      <c r="G48" s="201" t="s">
        <v>174</v>
      </c>
      <c r="H48" s="201" t="s">
        <v>140</v>
      </c>
      <c r="I48" s="201" t="s">
        <v>176</v>
      </c>
      <c r="J48" s="201" t="s">
        <v>447</v>
      </c>
      <c r="K48" s="201" t="s">
        <v>100</v>
      </c>
      <c r="L48" s="201" t="str">
        <f t="shared" si="10"/>
        <v>PROFESOR: QUISPE FLORES, FREDY ALEJANDRO</v>
      </c>
      <c r="M48" s="201" t="s">
        <v>101</v>
      </c>
      <c r="N48" s="201" t="s">
        <v>190</v>
      </c>
      <c r="O48" s="201" t="s">
        <v>229</v>
      </c>
      <c r="P48" s="201" t="str">
        <f t="shared" si="2"/>
        <v>QUISPE FLORES, FREDY ALEJANDRO</v>
      </c>
      <c r="Q48" s="348">
        <v>1545649</v>
      </c>
      <c r="R48" s="201" t="s">
        <v>352</v>
      </c>
      <c r="S48" s="201" t="s">
        <v>378</v>
      </c>
      <c r="T48" s="201" t="s">
        <v>455</v>
      </c>
      <c r="U48" s="202" t="s">
        <v>331</v>
      </c>
      <c r="V48" s="201" t="s">
        <v>186</v>
      </c>
      <c r="W48" s="201" t="s">
        <v>187</v>
      </c>
      <c r="X48" s="377" t="s">
        <v>462</v>
      </c>
      <c r="Y48" s="203">
        <v>44986</v>
      </c>
      <c r="Z48" s="203">
        <v>45291</v>
      </c>
      <c r="AA48" s="201" t="s">
        <v>188</v>
      </c>
      <c r="AB48" s="201" t="s">
        <v>193</v>
      </c>
    </row>
    <row r="49" spans="1:28" s="201" customFormat="1" x14ac:dyDescent="0.2">
      <c r="A49" s="200">
        <v>1545649</v>
      </c>
      <c r="B49" s="178" t="str">
        <f t="shared" si="9"/>
        <v>TECNICO AGROPECUARIO CHARAMAYAJER6</v>
      </c>
      <c r="C49" s="201" t="s">
        <v>132</v>
      </c>
      <c r="D49" s="201" t="s">
        <v>175</v>
      </c>
      <c r="E49" s="202">
        <v>6</v>
      </c>
      <c r="F49" s="201" t="s">
        <v>314</v>
      </c>
      <c r="G49" s="201" t="s">
        <v>174</v>
      </c>
      <c r="H49" s="201" t="s">
        <v>140</v>
      </c>
      <c r="I49" s="201" t="s">
        <v>176</v>
      </c>
      <c r="J49" s="201" t="s">
        <v>448</v>
      </c>
      <c r="K49" s="201" t="s">
        <v>100</v>
      </c>
      <c r="L49" s="201" t="str">
        <f t="shared" si="10"/>
        <v>PROFESOR: ALVAREZ HUANCA, HERMES</v>
      </c>
      <c r="M49" s="201" t="s">
        <v>101</v>
      </c>
      <c r="N49" s="201" t="s">
        <v>190</v>
      </c>
      <c r="O49" s="201" t="s">
        <v>229</v>
      </c>
      <c r="P49" s="201" t="str">
        <f t="shared" si="2"/>
        <v>ALVAREZ HUANCA, HERMES</v>
      </c>
      <c r="Q49" s="348">
        <v>1545649</v>
      </c>
      <c r="R49" s="201" t="s">
        <v>456</v>
      </c>
      <c r="S49" s="201" t="s">
        <v>457</v>
      </c>
      <c r="T49" s="201" t="s">
        <v>458</v>
      </c>
      <c r="U49" s="202" t="s">
        <v>331</v>
      </c>
      <c r="V49" s="201" t="s">
        <v>186</v>
      </c>
      <c r="W49" s="201" t="s">
        <v>187</v>
      </c>
      <c r="X49" s="377" t="s">
        <v>463</v>
      </c>
      <c r="Y49" s="203">
        <v>44986</v>
      </c>
      <c r="Z49" s="203">
        <v>45291</v>
      </c>
      <c r="AA49" s="201" t="s">
        <v>188</v>
      </c>
      <c r="AB49" s="201" t="s">
        <v>193</v>
      </c>
    </row>
    <row r="50" spans="1:28" s="205" customFormat="1" x14ac:dyDescent="0.2">
      <c r="A50" s="204">
        <v>1546993</v>
      </c>
      <c r="B50" s="178" t="str">
        <f t="shared" ref="B50:B55" si="11">C50&amp;D50&amp;E50</f>
        <v>FERNANDO BELAUNDE TERRYJER-EIB1</v>
      </c>
      <c r="C50" s="205" t="s">
        <v>125</v>
      </c>
      <c r="D50" s="205" t="s">
        <v>478</v>
      </c>
      <c r="E50" s="206">
        <v>1</v>
      </c>
      <c r="F50" s="205" t="s">
        <v>314</v>
      </c>
      <c r="G50" s="205" t="s">
        <v>174</v>
      </c>
      <c r="H50" s="205" t="s">
        <v>140</v>
      </c>
      <c r="I50" s="205" t="s">
        <v>176</v>
      </c>
      <c r="J50" s="205" t="s">
        <v>248</v>
      </c>
      <c r="K50" s="205" t="s">
        <v>103</v>
      </c>
      <c r="L50" s="205" t="str">
        <f t="shared" ref="L50:L55" si="12">M50&amp;": "&amp;P50</f>
        <v>DIRECTOR I.E.: MENDOZA COLOMA, JOSE MANUEL</v>
      </c>
      <c r="M50" s="205" t="s">
        <v>105</v>
      </c>
      <c r="N50" s="205" t="s">
        <v>104</v>
      </c>
      <c r="O50" s="205" t="s">
        <v>201</v>
      </c>
      <c r="P50" s="205" t="str">
        <f t="shared" si="2"/>
        <v>MENDOZA COLOMA, JOSE MANUEL</v>
      </c>
      <c r="Q50" s="349">
        <v>1546993</v>
      </c>
      <c r="R50" s="205" t="s">
        <v>218</v>
      </c>
      <c r="S50" s="205" t="s">
        <v>328</v>
      </c>
      <c r="T50" s="205" t="s">
        <v>329</v>
      </c>
      <c r="U50" s="206" t="s">
        <v>334</v>
      </c>
      <c r="V50" s="205" t="s">
        <v>181</v>
      </c>
      <c r="W50" s="205" t="s">
        <v>187</v>
      </c>
      <c r="X50" s="378" t="s">
        <v>225</v>
      </c>
      <c r="Y50" s="207">
        <v>44967</v>
      </c>
      <c r="Z50" s="207">
        <v>45291</v>
      </c>
      <c r="AA50" s="207" t="s">
        <v>188</v>
      </c>
      <c r="AB50" s="207" t="s">
        <v>184</v>
      </c>
    </row>
    <row r="51" spans="1:28" s="205" customFormat="1" x14ac:dyDescent="0.2">
      <c r="A51" s="204">
        <v>1546993</v>
      </c>
      <c r="B51" s="178" t="str">
        <f t="shared" si="11"/>
        <v>FERNANDO BELAUNDE TERRYJER-EIB2</v>
      </c>
      <c r="C51" s="205" t="s">
        <v>125</v>
      </c>
      <c r="D51" s="205" t="s">
        <v>478</v>
      </c>
      <c r="E51" s="206">
        <v>2</v>
      </c>
      <c r="F51" s="205" t="s">
        <v>314</v>
      </c>
      <c r="G51" s="205" t="s">
        <v>174</v>
      </c>
      <c r="H51" s="205" t="s">
        <v>140</v>
      </c>
      <c r="I51" s="205" t="s">
        <v>176</v>
      </c>
      <c r="J51" s="205" t="s">
        <v>249</v>
      </c>
      <c r="K51" s="205" t="s">
        <v>100</v>
      </c>
      <c r="L51" s="205" t="str">
        <f t="shared" si="12"/>
        <v>PROFESOR: CARI CONDORI, AMADOR JUAN</v>
      </c>
      <c r="M51" s="205" t="s">
        <v>101</v>
      </c>
      <c r="N51" s="205" t="s">
        <v>190</v>
      </c>
      <c r="O51" s="205" t="s">
        <v>467</v>
      </c>
      <c r="P51" s="205" t="str">
        <f t="shared" si="2"/>
        <v>CARI CONDORI, AMADOR JUAN</v>
      </c>
      <c r="Q51" s="349">
        <v>1546993</v>
      </c>
      <c r="R51" s="205" t="s">
        <v>316</v>
      </c>
      <c r="S51" s="205" t="s">
        <v>209</v>
      </c>
      <c r="T51" s="205" t="s">
        <v>468</v>
      </c>
      <c r="U51" s="206" t="s">
        <v>331</v>
      </c>
      <c r="V51" s="205" t="s">
        <v>186</v>
      </c>
      <c r="W51" s="205" t="s">
        <v>187</v>
      </c>
      <c r="X51" s="378" t="s">
        <v>476</v>
      </c>
      <c r="Y51" s="207">
        <v>44986</v>
      </c>
      <c r="Z51" s="207">
        <v>45291</v>
      </c>
      <c r="AA51" s="207" t="s">
        <v>188</v>
      </c>
      <c r="AB51" s="207" t="s">
        <v>193</v>
      </c>
    </row>
    <row r="52" spans="1:28" s="205" customFormat="1" x14ac:dyDescent="0.2">
      <c r="A52" s="204">
        <v>1546993</v>
      </c>
      <c r="B52" s="178" t="str">
        <f t="shared" si="11"/>
        <v>FERNANDO BELAUNDE TERRYJER-EIB3</v>
      </c>
      <c r="C52" s="205" t="s">
        <v>125</v>
      </c>
      <c r="D52" s="205" t="s">
        <v>478</v>
      </c>
      <c r="E52" s="206">
        <v>3</v>
      </c>
      <c r="F52" s="205" t="s">
        <v>314</v>
      </c>
      <c r="G52" s="205" t="s">
        <v>174</v>
      </c>
      <c r="H52" s="205" t="s">
        <v>140</v>
      </c>
      <c r="I52" s="205" t="s">
        <v>176</v>
      </c>
      <c r="J52" s="205" t="s">
        <v>250</v>
      </c>
      <c r="K52" s="205" t="s">
        <v>100</v>
      </c>
      <c r="L52" s="205" t="str">
        <f t="shared" si="12"/>
        <v>PROFESOR: CONDORI APAZA, LUIS ADOLFO</v>
      </c>
      <c r="M52" s="205" t="s">
        <v>101</v>
      </c>
      <c r="N52" s="205" t="s">
        <v>102</v>
      </c>
      <c r="O52" s="205" t="s">
        <v>199</v>
      </c>
      <c r="P52" s="205" t="str">
        <f t="shared" si="2"/>
        <v>CONDORI APAZA, LUIS ADOLFO</v>
      </c>
      <c r="Q52" s="349">
        <v>1546993</v>
      </c>
      <c r="R52" s="205" t="s">
        <v>209</v>
      </c>
      <c r="S52" s="205" t="s">
        <v>224</v>
      </c>
      <c r="T52" s="205" t="s">
        <v>327</v>
      </c>
      <c r="U52" s="206" t="s">
        <v>334</v>
      </c>
      <c r="V52" s="205" t="s">
        <v>186</v>
      </c>
      <c r="W52" s="205" t="s">
        <v>223</v>
      </c>
      <c r="X52" s="378" t="s">
        <v>251</v>
      </c>
      <c r="Y52" s="207">
        <v>44936</v>
      </c>
      <c r="Z52" s="207">
        <v>45291</v>
      </c>
      <c r="AA52" s="207" t="s">
        <v>188</v>
      </c>
      <c r="AB52" s="207" t="s">
        <v>184</v>
      </c>
    </row>
    <row r="53" spans="1:28" s="205" customFormat="1" x14ac:dyDescent="0.2">
      <c r="A53" s="204">
        <v>1546993</v>
      </c>
      <c r="B53" s="178" t="str">
        <f t="shared" si="11"/>
        <v>FERNANDO BELAUNDE TERRYJER-EIB4</v>
      </c>
      <c r="C53" s="205" t="s">
        <v>125</v>
      </c>
      <c r="D53" s="205" t="s">
        <v>478</v>
      </c>
      <c r="E53" s="206">
        <v>4</v>
      </c>
      <c r="F53" s="205" t="s">
        <v>314</v>
      </c>
      <c r="G53" s="205" t="s">
        <v>174</v>
      </c>
      <c r="H53" s="205" t="s">
        <v>140</v>
      </c>
      <c r="I53" s="205" t="s">
        <v>176</v>
      </c>
      <c r="J53" s="205" t="s">
        <v>464</v>
      </c>
      <c r="K53" s="205" t="s">
        <v>100</v>
      </c>
      <c r="L53" s="205" t="str">
        <f t="shared" si="12"/>
        <v>PROFESOR: SANIZO CRUZ, NORMA NORA</v>
      </c>
      <c r="M53" s="205" t="s">
        <v>101</v>
      </c>
      <c r="N53" s="205" t="s">
        <v>190</v>
      </c>
      <c r="O53" s="205" t="s">
        <v>229</v>
      </c>
      <c r="P53" s="205" t="str">
        <f t="shared" si="2"/>
        <v>SANIZO CRUZ, NORMA NORA</v>
      </c>
      <c r="Q53" s="349">
        <v>1546993</v>
      </c>
      <c r="R53" s="205" t="s">
        <v>469</v>
      </c>
      <c r="S53" s="205" t="s">
        <v>470</v>
      </c>
      <c r="T53" s="205" t="s">
        <v>471</v>
      </c>
      <c r="U53" s="206" t="s">
        <v>331</v>
      </c>
      <c r="V53" s="205" t="s">
        <v>186</v>
      </c>
      <c r="W53" s="205" t="s">
        <v>187</v>
      </c>
      <c r="X53" s="378" t="s">
        <v>477</v>
      </c>
      <c r="Y53" s="207">
        <v>45026</v>
      </c>
      <c r="Z53" s="207">
        <v>45291</v>
      </c>
      <c r="AA53" s="207" t="s">
        <v>188</v>
      </c>
      <c r="AB53" s="207" t="s">
        <v>193</v>
      </c>
    </row>
    <row r="54" spans="1:28" s="205" customFormat="1" x14ac:dyDescent="0.2">
      <c r="A54" s="204">
        <v>1546993</v>
      </c>
      <c r="B54" s="178" t="str">
        <f t="shared" si="11"/>
        <v>FERNANDO BELAUNDE TERRYJER-EIB5</v>
      </c>
      <c r="C54" s="205" t="s">
        <v>125</v>
      </c>
      <c r="D54" s="205" t="s">
        <v>478</v>
      </c>
      <c r="E54" s="206">
        <v>5</v>
      </c>
      <c r="F54" s="205" t="s">
        <v>314</v>
      </c>
      <c r="G54" s="205" t="s">
        <v>174</v>
      </c>
      <c r="H54" s="205" t="s">
        <v>140</v>
      </c>
      <c r="I54" s="205" t="s">
        <v>176</v>
      </c>
      <c r="J54" s="205" t="s">
        <v>465</v>
      </c>
      <c r="K54" s="205" t="s">
        <v>100</v>
      </c>
      <c r="L54" s="205" t="str">
        <f t="shared" si="12"/>
        <v>PROFESOR: APAZA CUTIPA, CARMEN TRINIDAD</v>
      </c>
      <c r="M54" s="205" t="s">
        <v>101</v>
      </c>
      <c r="N54" s="205" t="s">
        <v>190</v>
      </c>
      <c r="O54" s="205" t="s">
        <v>229</v>
      </c>
      <c r="P54" s="205" t="str">
        <f t="shared" si="2"/>
        <v>APAZA CUTIPA, CARMEN TRINIDAD</v>
      </c>
      <c r="Q54" s="349">
        <v>1546993</v>
      </c>
      <c r="R54" s="205" t="s">
        <v>224</v>
      </c>
      <c r="S54" s="205" t="s">
        <v>472</v>
      </c>
      <c r="T54" s="205" t="s">
        <v>473</v>
      </c>
      <c r="U54" s="206" t="s">
        <v>331</v>
      </c>
      <c r="V54" s="205" t="s">
        <v>186</v>
      </c>
      <c r="W54" s="205" t="s">
        <v>187</v>
      </c>
      <c r="X54" s="378" t="s">
        <v>236</v>
      </c>
      <c r="Y54" s="207">
        <v>45007</v>
      </c>
      <c r="Z54" s="207">
        <v>45291</v>
      </c>
      <c r="AA54" s="207" t="s">
        <v>188</v>
      </c>
      <c r="AB54" s="207" t="s">
        <v>193</v>
      </c>
    </row>
    <row r="55" spans="1:28" s="205" customFormat="1" x14ac:dyDescent="0.2">
      <c r="A55" s="204">
        <v>1546993</v>
      </c>
      <c r="B55" s="178" t="str">
        <f t="shared" si="11"/>
        <v>FERNANDO BELAUNDE TERRYJER-EIB6</v>
      </c>
      <c r="C55" s="205" t="s">
        <v>125</v>
      </c>
      <c r="D55" s="205" t="s">
        <v>478</v>
      </c>
      <c r="E55" s="206">
        <v>6</v>
      </c>
      <c r="F55" s="205" t="s">
        <v>314</v>
      </c>
      <c r="G55" s="205" t="s">
        <v>174</v>
      </c>
      <c r="H55" s="205" t="s">
        <v>140</v>
      </c>
      <c r="I55" s="205" t="s">
        <v>176</v>
      </c>
      <c r="J55" s="205" t="s">
        <v>466</v>
      </c>
      <c r="K55" s="205" t="s">
        <v>100</v>
      </c>
      <c r="L55" s="205" t="str">
        <f t="shared" si="12"/>
        <v>PROFESOR: CUNO MENDOZA, ROGER</v>
      </c>
      <c r="M55" s="205" t="s">
        <v>101</v>
      </c>
      <c r="N55" s="205" t="s">
        <v>190</v>
      </c>
      <c r="O55" s="205" t="s">
        <v>229</v>
      </c>
      <c r="P55" s="205" t="str">
        <f t="shared" si="2"/>
        <v>CUNO MENDOZA, ROGER</v>
      </c>
      <c r="Q55" s="349">
        <v>1546993</v>
      </c>
      <c r="R55" s="205" t="s">
        <v>474</v>
      </c>
      <c r="S55" s="205" t="s">
        <v>218</v>
      </c>
      <c r="T55" s="205" t="s">
        <v>475</v>
      </c>
      <c r="U55" s="206" t="s">
        <v>331</v>
      </c>
      <c r="V55" s="205" t="s">
        <v>186</v>
      </c>
      <c r="W55" s="205" t="s">
        <v>187</v>
      </c>
      <c r="X55" s="378" t="s">
        <v>290</v>
      </c>
      <c r="Y55" s="207">
        <v>44986</v>
      </c>
      <c r="Z55" s="207">
        <v>45291</v>
      </c>
      <c r="AA55" s="207" t="s">
        <v>188</v>
      </c>
      <c r="AB55" s="207" t="s">
        <v>193</v>
      </c>
    </row>
  </sheetData>
  <autoFilter ref="F2:AB55" xr:uid="{C99F3534-3FA6-40D7-8822-410D25EDF568}"/>
  <pageMargins left="0.7" right="0.7" top="0.75" bottom="0.75" header="0.3" footer="0.3"/>
  <pageSetup orientation="portrait" r:id="rId1"/>
  <headerFooter alignWithMargins="0"/>
  <ignoredErrors>
    <ignoredError sqref="Q3:Q19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0436E-2BB6-40FA-B921-8425D077E49B}">
  <sheetPr codeName="Hoja7">
    <tabColor rgb="FF92D050"/>
  </sheetPr>
  <dimension ref="A1:T85"/>
  <sheetViews>
    <sheetView showGridLines="0" zoomScale="84" zoomScaleNormal="84" workbookViewId="0">
      <selection activeCell="L5" sqref="L5"/>
    </sheetView>
  </sheetViews>
  <sheetFormatPr baseColWidth="10" defaultRowHeight="12.75" x14ac:dyDescent="0.2"/>
  <cols>
    <col min="1" max="1" width="23.140625" customWidth="1"/>
    <col min="2" max="2" width="5.5703125" customWidth="1"/>
    <col min="3" max="3" width="42.28515625" customWidth="1"/>
    <col min="4" max="8" width="9.42578125" customWidth="1"/>
    <col min="9" max="9" width="5" customWidth="1"/>
    <col min="10" max="10" width="4.5703125" customWidth="1"/>
    <col min="12" max="12" width="54.5703125" customWidth="1"/>
    <col min="13" max="13" width="3" customWidth="1"/>
    <col min="14" max="14" width="32.85546875" customWidth="1"/>
  </cols>
  <sheetData>
    <row r="1" spans="1:20" ht="18" customHeight="1" thickBot="1" x14ac:dyDescent="0.25">
      <c r="B1" t="str">
        <f>INICIO!B8</f>
        <v>ANTONIO RAYMONDI</v>
      </c>
      <c r="C1" t="str">
        <f>INICIO!Z8</f>
        <v>JER-EIB</v>
      </c>
    </row>
    <row r="2" spans="1:20" ht="24" thickBot="1" x14ac:dyDescent="0.4">
      <c r="A2" s="557" t="s">
        <v>340</v>
      </c>
      <c r="B2" s="558"/>
      <c r="C2" s="558"/>
      <c r="D2" s="558"/>
      <c r="E2" s="558"/>
      <c r="F2" s="558"/>
      <c r="G2" s="558"/>
      <c r="H2" s="559"/>
    </row>
    <row r="3" spans="1:20" ht="21" customHeight="1" thickBot="1" x14ac:dyDescent="0.25">
      <c r="A3" s="579" t="s">
        <v>142</v>
      </c>
      <c r="B3" s="580"/>
      <c r="C3" s="580"/>
      <c r="D3" s="577"/>
      <c r="E3" s="577"/>
      <c r="F3" s="577"/>
      <c r="G3" s="577"/>
      <c r="H3" s="578"/>
    </row>
    <row r="4" spans="1:20" ht="27" customHeight="1" thickBot="1" x14ac:dyDescent="0.25">
      <c r="A4" s="560" t="s">
        <v>53</v>
      </c>
      <c r="B4" s="561"/>
      <c r="C4" s="571"/>
      <c r="D4" s="3" t="s">
        <v>0</v>
      </c>
      <c r="E4" s="3" t="s">
        <v>1</v>
      </c>
      <c r="F4" s="3" t="s">
        <v>2</v>
      </c>
      <c r="G4" s="3" t="s">
        <v>3</v>
      </c>
      <c r="H4" s="229" t="s">
        <v>4</v>
      </c>
    </row>
    <row r="5" spans="1:20" ht="19.5" customHeight="1" thickBot="1" x14ac:dyDescent="0.25">
      <c r="A5" s="563" t="s">
        <v>54</v>
      </c>
      <c r="B5" s="2" t="s">
        <v>58</v>
      </c>
      <c r="C5" s="249" t="s">
        <v>156</v>
      </c>
      <c r="D5" s="1">
        <v>4</v>
      </c>
      <c r="E5" s="1">
        <v>4</v>
      </c>
      <c r="F5" s="1">
        <v>4</v>
      </c>
      <c r="G5" s="1">
        <v>4</v>
      </c>
      <c r="H5" s="1">
        <v>4</v>
      </c>
      <c r="K5" s="18">
        <v>1</v>
      </c>
      <c r="L5" s="19" t="str">
        <f>IFERROR(VLOOKUP($B$1&amp;$C$1&amp;K5,Hoja3!$A$2:$E$134,5,FALSE),"")</f>
        <v>MATEMATICA</v>
      </c>
      <c r="T5" t="s">
        <v>156</v>
      </c>
    </row>
    <row r="6" spans="1:20" ht="19.5" customHeight="1" thickBot="1" x14ac:dyDescent="0.25">
      <c r="A6" s="564"/>
      <c r="B6" s="2" t="s">
        <v>59</v>
      </c>
      <c r="C6" s="250" t="s">
        <v>292</v>
      </c>
      <c r="D6" s="1">
        <v>4</v>
      </c>
      <c r="E6" s="1">
        <v>4</v>
      </c>
      <c r="F6" s="1">
        <v>4</v>
      </c>
      <c r="G6" s="1">
        <v>4</v>
      </c>
      <c r="H6" s="1">
        <v>4</v>
      </c>
      <c r="K6" s="18">
        <v>2</v>
      </c>
      <c r="L6" s="19" t="s">
        <v>344</v>
      </c>
      <c r="T6" t="s">
        <v>342</v>
      </c>
    </row>
    <row r="7" spans="1:20" ht="19.5" customHeight="1" thickBot="1" x14ac:dyDescent="0.25">
      <c r="A7" s="564"/>
      <c r="B7" s="2" t="s">
        <v>60</v>
      </c>
      <c r="C7" s="251" t="s">
        <v>157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K7" s="18">
        <v>3</v>
      </c>
      <c r="L7" s="19" t="s">
        <v>347</v>
      </c>
      <c r="T7" t="s">
        <v>343</v>
      </c>
    </row>
    <row r="8" spans="1:20" ht="19.5" customHeight="1" thickBot="1" x14ac:dyDescent="0.25">
      <c r="A8" s="564"/>
      <c r="B8" s="2" t="s">
        <v>61</v>
      </c>
      <c r="C8" s="252" t="s">
        <v>293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K8" s="18">
        <v>4</v>
      </c>
      <c r="L8" s="19" t="str">
        <f>IFERROR(VLOOKUP($B$1&amp;$C$1&amp;K8,Hoja3!$A$2:$E$134,5,FALSE),"")</f>
        <v>INGLES</v>
      </c>
      <c r="T8" t="s">
        <v>157</v>
      </c>
    </row>
    <row r="9" spans="1:20" ht="19.5" customHeight="1" thickBot="1" x14ac:dyDescent="0.25">
      <c r="A9" s="564"/>
      <c r="B9" s="2" t="s">
        <v>62</v>
      </c>
      <c r="C9" s="253" t="s">
        <v>294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K9" s="18">
        <v>5</v>
      </c>
      <c r="L9" s="19" t="str">
        <f>IFERROR(VLOOKUP($B$1&amp;$C$1&amp;K9,Hoja3!$A$2:$E$134,5,FALSE),"")</f>
        <v>ARTE Y CULTURA</v>
      </c>
      <c r="T9" t="s">
        <v>293</v>
      </c>
    </row>
    <row r="10" spans="1:20" ht="19.5" customHeight="1" thickBot="1" x14ac:dyDescent="0.25">
      <c r="A10" s="564"/>
      <c r="B10" s="2" t="s">
        <v>63</v>
      </c>
      <c r="C10" s="254" t="s">
        <v>295</v>
      </c>
      <c r="D10" s="1">
        <v>3</v>
      </c>
      <c r="E10" s="1">
        <v>3</v>
      </c>
      <c r="F10" s="1">
        <v>3</v>
      </c>
      <c r="G10" s="1">
        <v>3</v>
      </c>
      <c r="H10" s="1">
        <v>3</v>
      </c>
      <c r="K10" s="18">
        <v>6</v>
      </c>
      <c r="L10" s="19" t="str">
        <f>IFERROR(VLOOKUP($B$1&amp;$C$1&amp;K10,Hoja3!$A$2:$E$134,5,FALSE),"")</f>
        <v>CIENCIAS SOCIALES</v>
      </c>
      <c r="T10" t="s">
        <v>294</v>
      </c>
    </row>
    <row r="11" spans="1:20" ht="19.5" customHeight="1" thickBot="1" x14ac:dyDescent="0.25">
      <c r="A11" s="564"/>
      <c r="B11" s="2" t="s">
        <v>64</v>
      </c>
      <c r="C11" s="255" t="s">
        <v>296</v>
      </c>
      <c r="D11" s="1">
        <v>3</v>
      </c>
      <c r="E11" s="1">
        <v>3</v>
      </c>
      <c r="F11" s="1">
        <v>3</v>
      </c>
      <c r="G11" s="1">
        <v>3</v>
      </c>
      <c r="H11" s="1">
        <v>3</v>
      </c>
      <c r="K11" s="18">
        <v>7</v>
      </c>
      <c r="L11" s="19" t="str">
        <f>IFERROR(VLOOKUP($B$1&amp;$C$1&amp;K11,Hoja3!$A$2:$E$134,5,FALSE),"")</f>
        <v>DESARROLLO PERSONAL, CIUDADANIA Y CIVICA</v>
      </c>
      <c r="T11" t="s">
        <v>295</v>
      </c>
    </row>
    <row r="12" spans="1:20" ht="19.5" customHeight="1" thickBot="1" x14ac:dyDescent="0.25">
      <c r="A12" s="564"/>
      <c r="B12" s="2" t="s">
        <v>65</v>
      </c>
      <c r="C12" s="256" t="s">
        <v>297</v>
      </c>
      <c r="D12" s="1">
        <v>2</v>
      </c>
      <c r="E12" s="1">
        <v>2</v>
      </c>
      <c r="F12" s="1">
        <v>2</v>
      </c>
      <c r="G12" s="1">
        <v>2</v>
      </c>
      <c r="H12" s="1">
        <v>2</v>
      </c>
      <c r="K12" s="18">
        <v>8</v>
      </c>
      <c r="L12" s="19" t="str">
        <f>IFERROR(VLOOKUP($B$1&amp;$C$1&amp;K12,Hoja3!$A$2:$E$134,5,FALSE),"")</f>
        <v>EDUCACION FISICA</v>
      </c>
      <c r="T12" t="s">
        <v>296</v>
      </c>
    </row>
    <row r="13" spans="1:20" ht="19.5" customHeight="1" thickBot="1" x14ac:dyDescent="0.25">
      <c r="A13" s="564"/>
      <c r="B13" s="2" t="s">
        <v>66</v>
      </c>
      <c r="C13" s="257" t="s">
        <v>298</v>
      </c>
      <c r="D13" s="1">
        <v>4</v>
      </c>
      <c r="E13" s="1">
        <v>4</v>
      </c>
      <c r="F13" s="1">
        <v>4</v>
      </c>
      <c r="G13" s="1">
        <v>4</v>
      </c>
      <c r="H13" s="1">
        <v>4</v>
      </c>
      <c r="K13" s="18">
        <v>9</v>
      </c>
      <c r="L13" s="19" t="str">
        <f>IFERROR(VLOOKUP($B$1&amp;$C$1&amp;K13,Hoja3!$A$2:$E$134,5,FALSE),"")</f>
        <v>EDUCACION RELIGIOSA</v>
      </c>
      <c r="M13" t="s">
        <v>73</v>
      </c>
      <c r="T13" t="s">
        <v>297</v>
      </c>
    </row>
    <row r="14" spans="1:20" ht="19.5" customHeight="1" thickBot="1" x14ac:dyDescent="0.25">
      <c r="A14" s="564"/>
      <c r="B14" s="2" t="s">
        <v>67</v>
      </c>
      <c r="C14" s="258" t="s">
        <v>152</v>
      </c>
      <c r="D14" s="1">
        <v>2</v>
      </c>
      <c r="E14" s="1">
        <v>2</v>
      </c>
      <c r="F14" s="1">
        <v>2</v>
      </c>
      <c r="G14" s="1">
        <v>2</v>
      </c>
      <c r="H14" s="1">
        <v>2</v>
      </c>
      <c r="K14" s="18">
        <v>10</v>
      </c>
      <c r="L14" s="19" t="str">
        <f>IFERROR(VLOOKUP($B$1&amp;$C$1&amp;K14,Hoja3!$A$2:$E$134,5,FALSE),"")</f>
        <v>CIENCIA Y TECNOLOGIA</v>
      </c>
      <c r="M14" t="s">
        <v>73</v>
      </c>
      <c r="T14" t="s">
        <v>298</v>
      </c>
    </row>
    <row r="15" spans="1:20" ht="19.5" customHeight="1" thickBot="1" x14ac:dyDescent="0.4">
      <c r="A15" s="565"/>
      <c r="B15" s="2" t="s">
        <v>68</v>
      </c>
      <c r="C15" s="259" t="s">
        <v>299</v>
      </c>
      <c r="D15" s="1">
        <v>2</v>
      </c>
      <c r="E15" s="1">
        <v>2</v>
      </c>
      <c r="F15" s="1">
        <v>2</v>
      </c>
      <c r="G15" s="1">
        <v>2</v>
      </c>
      <c r="H15" s="1">
        <v>2</v>
      </c>
      <c r="K15" s="18">
        <v>11</v>
      </c>
      <c r="L15" s="19" t="str">
        <f>IFERROR(VLOOKUP($B$1&amp;$C$1&amp;K15,Hoja3!$A$2:$E$134,5,FALSE),"")</f>
        <v>EDUCACION PARA EL TRABAJO</v>
      </c>
      <c r="M15" t="s">
        <v>73</v>
      </c>
      <c r="N15" s="17" t="s">
        <v>122</v>
      </c>
      <c r="T15" t="s">
        <v>152</v>
      </c>
    </row>
    <row r="16" spans="1:20" ht="19.5" customHeight="1" thickBot="1" x14ac:dyDescent="0.4">
      <c r="A16" s="231"/>
      <c r="B16" s="2" t="s">
        <v>69</v>
      </c>
      <c r="C16" s="172" t="s">
        <v>158</v>
      </c>
      <c r="D16" s="1">
        <v>2</v>
      </c>
      <c r="E16" s="1">
        <v>2</v>
      </c>
      <c r="F16" s="1">
        <v>2</v>
      </c>
      <c r="G16" s="1">
        <v>2</v>
      </c>
      <c r="H16" s="230">
        <v>2</v>
      </c>
      <c r="K16" s="18">
        <v>12</v>
      </c>
      <c r="L16" s="19" t="str">
        <f>IFERROR(VLOOKUP($B$1&amp;$C$1&amp;K16,Hoja3!$A$2:$E$134,5,FALSE),"")</f>
        <v>TUTORIA Y ORIENTACION EDUCATIVA</v>
      </c>
      <c r="N16" s="17" t="s">
        <v>123</v>
      </c>
      <c r="O16" s="12"/>
      <c r="P16" s="12"/>
      <c r="T16" t="s">
        <v>299</v>
      </c>
    </row>
    <row r="17" spans="1:20" ht="18.75" customHeight="1" thickBot="1" x14ac:dyDescent="0.25">
      <c r="A17" s="566" t="s">
        <v>57</v>
      </c>
      <c r="B17" s="567"/>
      <c r="C17" s="570"/>
      <c r="D17" s="232">
        <f>SUM(D5:D16)</f>
        <v>35</v>
      </c>
      <c r="E17" s="232">
        <f>SUM(E5:E16)</f>
        <v>35</v>
      </c>
      <c r="F17" s="232">
        <f>SUM(F5:F16)</f>
        <v>35</v>
      </c>
      <c r="G17" s="232">
        <f>SUM(G5:G16)</f>
        <v>35</v>
      </c>
      <c r="H17" s="233">
        <f>SUM(H5:H16)</f>
        <v>35</v>
      </c>
      <c r="K17" s="18">
        <v>13</v>
      </c>
      <c r="L17" s="19" t="str">
        <f>IFERROR(VLOOKUP($B$1&amp;$C$1&amp;K17,Hoja3!$A$2:$E$134,5,FALSE),"")</f>
        <v>Horas de libre disponibilidad</v>
      </c>
      <c r="M17" t="s">
        <v>73</v>
      </c>
      <c r="N17" s="15"/>
      <c r="O17" s="13"/>
      <c r="P17" s="13"/>
      <c r="T17" t="s">
        <v>158</v>
      </c>
    </row>
    <row r="18" spans="1:20" ht="15.75" thickBot="1" x14ac:dyDescent="0.25">
      <c r="K18" s="18">
        <v>14</v>
      </c>
      <c r="L18" s="23" t="str">
        <f>+"Educación para el Trabajo"&amp;M16&amp;" "&amp;N17</f>
        <v xml:space="preserve">Educación para el Trabajo </v>
      </c>
      <c r="M18" t="s">
        <v>73</v>
      </c>
      <c r="N18" s="15"/>
      <c r="O18" s="13"/>
      <c r="P18" s="13"/>
    </row>
    <row r="19" spans="1:20" ht="15.75" thickBot="1" x14ac:dyDescent="0.25">
      <c r="K19" s="18">
        <v>15</v>
      </c>
      <c r="L19" s="23" t="str">
        <f>+"Educación para el Trabajo"&amp;M17&amp;" "&amp;N18</f>
        <v xml:space="preserve">Educación para el Trabajo: </v>
      </c>
      <c r="M19" t="s">
        <v>73</v>
      </c>
      <c r="N19" s="15"/>
      <c r="O19" s="13"/>
      <c r="P19" s="13"/>
    </row>
    <row r="20" spans="1:20" ht="15.75" thickBot="1" x14ac:dyDescent="0.25">
      <c r="K20" s="18">
        <v>16</v>
      </c>
      <c r="L20" s="23" t="str">
        <f>+"Educación para el Trabajo"&amp;M18&amp;" "&amp;N19</f>
        <v xml:space="preserve">Educación para el Trabajo: </v>
      </c>
      <c r="N20" s="15"/>
      <c r="O20" s="13"/>
      <c r="P20" s="13"/>
    </row>
    <row r="21" spans="1:20" ht="15.75" thickBot="1" x14ac:dyDescent="0.25">
      <c r="K21" s="18">
        <v>17</v>
      </c>
      <c r="L21" s="23" t="str">
        <f>+"Educación para el Trabajo"&amp;M19&amp;" "&amp;N20</f>
        <v xml:space="preserve">Educación para el Trabajo: </v>
      </c>
      <c r="M21" t="s">
        <v>73</v>
      </c>
      <c r="N21" s="15"/>
      <c r="O21" s="13"/>
      <c r="P21" s="13"/>
    </row>
    <row r="22" spans="1:20" ht="15.75" thickBot="1" x14ac:dyDescent="0.25">
      <c r="K22" s="18">
        <v>18</v>
      </c>
      <c r="L22" s="318" t="s">
        <v>154</v>
      </c>
      <c r="N22" s="15"/>
      <c r="O22" s="13"/>
      <c r="P22" s="13"/>
    </row>
    <row r="23" spans="1:20" ht="15.75" thickBot="1" x14ac:dyDescent="0.25">
      <c r="K23" s="277"/>
      <c r="L23" s="329"/>
    </row>
    <row r="24" spans="1:20" ht="24" thickBot="1" x14ac:dyDescent="0.4">
      <c r="A24" s="557" t="s">
        <v>341</v>
      </c>
      <c r="B24" s="558"/>
      <c r="C24" s="558"/>
      <c r="D24" s="558"/>
      <c r="E24" s="558"/>
      <c r="F24" s="558"/>
      <c r="G24" s="558"/>
      <c r="H24" s="559"/>
    </row>
    <row r="25" spans="1:20" ht="21" customHeight="1" thickBot="1" x14ac:dyDescent="0.25">
      <c r="A25" s="579" t="s">
        <v>142</v>
      </c>
      <c r="B25" s="580"/>
      <c r="C25" s="580"/>
      <c r="D25" s="577"/>
      <c r="E25" s="577"/>
      <c r="F25" s="577"/>
      <c r="G25" s="577"/>
      <c r="H25" s="578"/>
    </row>
    <row r="26" spans="1:20" ht="27" customHeight="1" thickBot="1" x14ac:dyDescent="0.25">
      <c r="A26" s="560" t="s">
        <v>53</v>
      </c>
      <c r="B26" s="561"/>
      <c r="C26" s="571"/>
      <c r="D26" s="3" t="s">
        <v>0</v>
      </c>
      <c r="E26" s="3" t="s">
        <v>1</v>
      </c>
      <c r="F26" s="3" t="s">
        <v>2</v>
      </c>
      <c r="G26" s="3" t="s">
        <v>3</v>
      </c>
      <c r="H26" s="229" t="s">
        <v>4</v>
      </c>
    </row>
    <row r="27" spans="1:20" ht="19.5" customHeight="1" thickBot="1" x14ac:dyDescent="0.25">
      <c r="A27" s="563" t="s">
        <v>54</v>
      </c>
      <c r="B27" s="2" t="s">
        <v>58</v>
      </c>
      <c r="C27" s="249" t="s">
        <v>156</v>
      </c>
      <c r="D27" s="1">
        <v>4</v>
      </c>
      <c r="E27" s="1">
        <v>4</v>
      </c>
      <c r="F27" s="1">
        <v>4</v>
      </c>
      <c r="G27" s="1">
        <v>4</v>
      </c>
      <c r="H27" s="1">
        <v>4</v>
      </c>
      <c r="K27" s="18">
        <v>1</v>
      </c>
      <c r="L27" s="19" t="str">
        <f>IFERROR(VLOOKUP($B$1&amp;$C$1&amp;$K27,Hoja3!$A$2:$E$134,5,FALSE),"")</f>
        <v>MATEMATICA</v>
      </c>
    </row>
    <row r="28" spans="1:20" ht="19.5" customHeight="1" thickBot="1" x14ac:dyDescent="0.25">
      <c r="A28" s="564"/>
      <c r="B28" s="2" t="s">
        <v>59</v>
      </c>
      <c r="C28" s="250" t="s">
        <v>292</v>
      </c>
      <c r="D28" s="1">
        <v>4</v>
      </c>
      <c r="E28" s="1">
        <v>4</v>
      </c>
      <c r="F28" s="1">
        <v>4</v>
      </c>
      <c r="G28" s="1">
        <v>4</v>
      </c>
      <c r="H28" s="1">
        <v>4</v>
      </c>
      <c r="K28" s="18">
        <v>2</v>
      </c>
      <c r="L28" s="19" t="s">
        <v>342</v>
      </c>
    </row>
    <row r="29" spans="1:20" ht="19.5" customHeight="1" thickBot="1" x14ac:dyDescent="0.25">
      <c r="A29" s="564"/>
      <c r="B29" s="2" t="s">
        <v>60</v>
      </c>
      <c r="C29" s="251" t="s">
        <v>157</v>
      </c>
      <c r="D29" s="1">
        <v>3</v>
      </c>
      <c r="E29" s="1">
        <v>3</v>
      </c>
      <c r="F29" s="1">
        <v>3</v>
      </c>
      <c r="G29" s="1">
        <v>3</v>
      </c>
      <c r="H29" s="1">
        <v>3</v>
      </c>
      <c r="K29" s="18">
        <v>3</v>
      </c>
      <c r="L29" s="19" t="s">
        <v>343</v>
      </c>
    </row>
    <row r="30" spans="1:20" ht="19.5" customHeight="1" thickBot="1" x14ac:dyDescent="0.25">
      <c r="A30" s="564"/>
      <c r="B30" s="2" t="s">
        <v>61</v>
      </c>
      <c r="C30" s="252" t="s">
        <v>293</v>
      </c>
      <c r="D30" s="1">
        <v>3</v>
      </c>
      <c r="E30" s="1">
        <v>3</v>
      </c>
      <c r="F30" s="1">
        <v>3</v>
      </c>
      <c r="G30" s="1">
        <v>3</v>
      </c>
      <c r="H30" s="1">
        <v>3</v>
      </c>
      <c r="K30" s="18">
        <v>4</v>
      </c>
      <c r="L30" s="19" t="str">
        <f>IFERROR(VLOOKUP($B$1&amp;$C$1&amp;$K30,Hoja3!$A$2:$E$134,5,FALSE),"")</f>
        <v>INGLES</v>
      </c>
    </row>
    <row r="31" spans="1:20" ht="19.5" customHeight="1" thickBot="1" x14ac:dyDescent="0.25">
      <c r="A31" s="564"/>
      <c r="B31" s="2" t="s">
        <v>62</v>
      </c>
      <c r="C31" s="253" t="s">
        <v>294</v>
      </c>
      <c r="D31" s="1">
        <v>3</v>
      </c>
      <c r="E31" s="1">
        <v>3</v>
      </c>
      <c r="F31" s="1">
        <v>3</v>
      </c>
      <c r="G31" s="1">
        <v>3</v>
      </c>
      <c r="H31" s="1">
        <v>3</v>
      </c>
      <c r="K31" s="18">
        <v>5</v>
      </c>
      <c r="L31" s="19" t="str">
        <f>IFERROR(VLOOKUP($B$1&amp;$C$1&amp;$K31,Hoja3!$A$2:$E$134,5,FALSE),"")</f>
        <v>ARTE Y CULTURA</v>
      </c>
    </row>
    <row r="32" spans="1:20" ht="19.5" customHeight="1" thickBot="1" x14ac:dyDescent="0.25">
      <c r="A32" s="564"/>
      <c r="B32" s="2" t="s">
        <v>63</v>
      </c>
      <c r="C32" s="254" t="s">
        <v>295</v>
      </c>
      <c r="D32" s="1">
        <v>3</v>
      </c>
      <c r="E32" s="1">
        <v>3</v>
      </c>
      <c r="F32" s="1">
        <v>3</v>
      </c>
      <c r="G32" s="1">
        <v>3</v>
      </c>
      <c r="H32" s="1">
        <v>3</v>
      </c>
      <c r="K32" s="18">
        <v>6</v>
      </c>
      <c r="L32" s="19" t="str">
        <f>IFERROR(VLOOKUP($B$1&amp;$C$1&amp;$K32,Hoja3!$A$2:$E$134,5,FALSE),"")</f>
        <v>CIENCIAS SOCIALES</v>
      </c>
    </row>
    <row r="33" spans="1:16" ht="19.5" customHeight="1" thickBot="1" x14ac:dyDescent="0.25">
      <c r="A33" s="564"/>
      <c r="B33" s="2" t="s">
        <v>64</v>
      </c>
      <c r="C33" s="255" t="s">
        <v>296</v>
      </c>
      <c r="D33" s="1">
        <v>3</v>
      </c>
      <c r="E33" s="1">
        <v>3</v>
      </c>
      <c r="F33" s="1">
        <v>3</v>
      </c>
      <c r="G33" s="1">
        <v>3</v>
      </c>
      <c r="H33" s="1">
        <v>3</v>
      </c>
      <c r="K33" s="18">
        <v>7</v>
      </c>
      <c r="L33" s="19" t="str">
        <f>IFERROR(VLOOKUP($B$1&amp;$C$1&amp;$K33,Hoja3!$A$2:$E$134,5,FALSE),"")</f>
        <v>DESARROLLO PERSONAL, CIUDADANIA Y CIVICA</v>
      </c>
    </row>
    <row r="34" spans="1:16" ht="19.5" customHeight="1" thickBot="1" x14ac:dyDescent="0.25">
      <c r="A34" s="564"/>
      <c r="B34" s="2" t="s">
        <v>65</v>
      </c>
      <c r="C34" s="256" t="s">
        <v>297</v>
      </c>
      <c r="D34" s="1">
        <v>2</v>
      </c>
      <c r="E34" s="1">
        <v>2</v>
      </c>
      <c r="F34" s="1">
        <v>2</v>
      </c>
      <c r="G34" s="1">
        <v>2</v>
      </c>
      <c r="H34" s="1">
        <v>2</v>
      </c>
      <c r="K34" s="18">
        <v>8</v>
      </c>
      <c r="L34" s="19" t="str">
        <f>IFERROR(VLOOKUP($B$1&amp;$C$1&amp;$K34,Hoja3!$A$2:$E$134,5,FALSE),"")</f>
        <v>EDUCACION FISICA</v>
      </c>
    </row>
    <row r="35" spans="1:16" ht="19.5" customHeight="1" thickBot="1" x14ac:dyDescent="0.25">
      <c r="A35" s="564"/>
      <c r="B35" s="2" t="s">
        <v>66</v>
      </c>
      <c r="C35" s="257" t="s">
        <v>298</v>
      </c>
      <c r="D35" s="1">
        <v>4</v>
      </c>
      <c r="E35" s="1">
        <v>4</v>
      </c>
      <c r="F35" s="1">
        <v>4</v>
      </c>
      <c r="G35" s="1">
        <v>4</v>
      </c>
      <c r="H35" s="1">
        <v>4</v>
      </c>
      <c r="K35" s="18">
        <v>9</v>
      </c>
      <c r="L35" s="19" t="str">
        <f>IFERROR(VLOOKUP($B$1&amp;$C$1&amp;$K35,Hoja3!$A$2:$E$134,5,FALSE),"")</f>
        <v>EDUCACION RELIGIOSA</v>
      </c>
      <c r="M35" t="s">
        <v>73</v>
      </c>
    </row>
    <row r="36" spans="1:16" ht="19.5" customHeight="1" thickBot="1" x14ac:dyDescent="0.25">
      <c r="A36" s="564"/>
      <c r="B36" s="2" t="s">
        <v>67</v>
      </c>
      <c r="C36" s="258" t="s">
        <v>152</v>
      </c>
      <c r="D36" s="1">
        <v>2</v>
      </c>
      <c r="E36" s="1">
        <v>2</v>
      </c>
      <c r="F36" s="1">
        <v>2</v>
      </c>
      <c r="G36" s="1">
        <v>2</v>
      </c>
      <c r="H36" s="1">
        <v>2</v>
      </c>
      <c r="K36" s="18">
        <v>10</v>
      </c>
      <c r="L36" s="19" t="str">
        <f>IFERROR(VLOOKUP($B$1&amp;$C$1&amp;$K36,Hoja3!$A$2:$E$134,5,FALSE),"")</f>
        <v>CIENCIA Y TECNOLOGIA</v>
      </c>
      <c r="M36" t="s">
        <v>73</v>
      </c>
    </row>
    <row r="37" spans="1:16" ht="19.5" customHeight="1" thickBot="1" x14ac:dyDescent="0.4">
      <c r="A37" s="565"/>
      <c r="B37" s="2" t="s">
        <v>68</v>
      </c>
      <c r="C37" s="259" t="s">
        <v>299</v>
      </c>
      <c r="D37" s="1">
        <v>2</v>
      </c>
      <c r="E37" s="1">
        <v>2</v>
      </c>
      <c r="F37" s="1">
        <v>2</v>
      </c>
      <c r="G37" s="1">
        <v>2</v>
      </c>
      <c r="H37" s="1">
        <v>2</v>
      </c>
      <c r="K37" s="18">
        <v>11</v>
      </c>
      <c r="L37" s="19" t="str">
        <f>IFERROR(VLOOKUP($B$1&amp;$C$1&amp;$K37,Hoja3!$A$2:$E$134,5,FALSE),"")</f>
        <v>EDUCACION PARA EL TRABAJO</v>
      </c>
      <c r="M37" t="s">
        <v>73</v>
      </c>
      <c r="N37" s="17" t="s">
        <v>122</v>
      </c>
    </row>
    <row r="38" spans="1:16" ht="19.5" customHeight="1" thickBot="1" x14ac:dyDescent="0.4">
      <c r="A38" s="231"/>
      <c r="B38" s="2" t="s">
        <v>69</v>
      </c>
      <c r="C38" s="172" t="s">
        <v>158</v>
      </c>
      <c r="D38" s="1">
        <v>2</v>
      </c>
      <c r="E38" s="1">
        <v>2</v>
      </c>
      <c r="F38" s="1">
        <v>2</v>
      </c>
      <c r="G38" s="1">
        <v>2</v>
      </c>
      <c r="H38" s="230">
        <v>2</v>
      </c>
      <c r="K38" s="18">
        <v>12</v>
      </c>
      <c r="L38" s="19" t="str">
        <f>IFERROR(VLOOKUP($B$1&amp;$C$1&amp;$K38,Hoja3!$A$2:$E$134,5,FALSE),"")</f>
        <v>TUTORIA Y ORIENTACION EDUCATIVA</v>
      </c>
      <c r="N38" s="17" t="s">
        <v>123</v>
      </c>
      <c r="O38" s="12"/>
      <c r="P38" s="12"/>
    </row>
    <row r="39" spans="1:16" ht="18.75" customHeight="1" thickBot="1" x14ac:dyDescent="0.25">
      <c r="A39" s="566" t="s">
        <v>57</v>
      </c>
      <c r="B39" s="567"/>
      <c r="C39" s="570"/>
      <c r="D39" s="232">
        <f>SUM(D27:D38)</f>
        <v>35</v>
      </c>
      <c r="E39" s="232">
        <f>SUM(E27:E38)</f>
        <v>35</v>
      </c>
      <c r="F39" s="232">
        <f>SUM(F27:F38)</f>
        <v>35</v>
      </c>
      <c r="G39" s="232">
        <f>SUM(G27:G38)</f>
        <v>35</v>
      </c>
      <c r="H39" s="233">
        <f>SUM(H27:H38)</f>
        <v>35</v>
      </c>
      <c r="K39" s="18">
        <v>13</v>
      </c>
      <c r="L39" s="19" t="str">
        <f>IFERROR(VLOOKUP($B$1&amp;$C$1&amp;$K39,Hoja3!$A$2:$E$134,5,FALSE),"")</f>
        <v>Horas de libre disponibilidad</v>
      </c>
      <c r="M39" t="s">
        <v>73</v>
      </c>
      <c r="N39" s="15"/>
      <c r="O39" s="13"/>
      <c r="P39" s="13"/>
    </row>
    <row r="40" spans="1:16" ht="15.75" thickBot="1" x14ac:dyDescent="0.25">
      <c r="K40" s="18">
        <v>13</v>
      </c>
      <c r="L40" s="23" t="str">
        <f>+"Educación para el Trabajo"&amp;M38&amp;" "&amp;N39</f>
        <v xml:space="preserve">Educación para el Trabajo </v>
      </c>
      <c r="M40" t="s">
        <v>73</v>
      </c>
      <c r="N40" s="15"/>
      <c r="O40" s="13"/>
      <c r="P40" s="13"/>
    </row>
    <row r="41" spans="1:16" ht="15.75" thickBot="1" x14ac:dyDescent="0.25">
      <c r="K41" s="18">
        <v>14</v>
      </c>
      <c r="L41" s="23" t="str">
        <f>+"Educación para el Trabajo"&amp;M39&amp;" "&amp;N40</f>
        <v xml:space="preserve">Educación para el Trabajo: </v>
      </c>
      <c r="M41" t="s">
        <v>73</v>
      </c>
      <c r="N41" s="15"/>
      <c r="O41" s="13"/>
      <c r="P41" s="13"/>
    </row>
    <row r="42" spans="1:16" ht="15.75" thickBot="1" x14ac:dyDescent="0.25">
      <c r="K42" s="18">
        <v>15</v>
      </c>
      <c r="L42" s="23" t="str">
        <f>+"Educación para el Trabajo"&amp;M40&amp;" "&amp;N41</f>
        <v xml:space="preserve">Educación para el Trabajo: </v>
      </c>
      <c r="N42" s="15"/>
      <c r="O42" s="13"/>
      <c r="P42" s="13"/>
    </row>
    <row r="43" spans="1:16" ht="15.75" thickBot="1" x14ac:dyDescent="0.25">
      <c r="K43" s="18">
        <v>16</v>
      </c>
      <c r="L43" s="23" t="str">
        <f>+"Educación para el Trabajo"&amp;M41&amp;" "&amp;N42</f>
        <v xml:space="preserve">Educación para el Trabajo: </v>
      </c>
      <c r="M43" t="s">
        <v>73</v>
      </c>
      <c r="N43" s="15"/>
      <c r="O43" s="13"/>
      <c r="P43" s="13"/>
    </row>
    <row r="44" spans="1:16" ht="15.75" thickBot="1" x14ac:dyDescent="0.25">
      <c r="K44" s="18">
        <v>17</v>
      </c>
      <c r="L44" s="318" t="s">
        <v>154</v>
      </c>
    </row>
    <row r="46" spans="1:16" ht="24" thickBot="1" x14ac:dyDescent="0.4">
      <c r="A46" s="569" t="s">
        <v>346</v>
      </c>
      <c r="B46" s="569"/>
      <c r="C46" s="569"/>
      <c r="D46" s="569"/>
      <c r="E46" s="569"/>
      <c r="F46" s="569"/>
      <c r="G46" s="569"/>
      <c r="H46" s="569"/>
    </row>
    <row r="47" spans="1:16" ht="27" customHeight="1" thickBot="1" x14ac:dyDescent="0.25">
      <c r="A47" s="560" t="s">
        <v>53</v>
      </c>
      <c r="B47" s="561"/>
      <c r="C47" s="562"/>
      <c r="D47" s="3" t="s">
        <v>0</v>
      </c>
      <c r="E47" s="3" t="s">
        <v>1</v>
      </c>
      <c r="F47" s="3" t="s">
        <v>2</v>
      </c>
      <c r="G47" s="3" t="s">
        <v>3</v>
      </c>
      <c r="H47" s="229" t="s">
        <v>4</v>
      </c>
    </row>
    <row r="48" spans="1:16" ht="19.5" customHeight="1" thickBot="1" x14ac:dyDescent="0.25">
      <c r="A48" s="563" t="s">
        <v>54</v>
      </c>
      <c r="B48" s="247" t="s">
        <v>58</v>
      </c>
      <c r="C48" s="249" t="s">
        <v>156</v>
      </c>
      <c r="D48" s="1">
        <v>6</v>
      </c>
      <c r="E48" s="1">
        <v>6</v>
      </c>
      <c r="F48" s="1">
        <v>6</v>
      </c>
      <c r="G48" s="1">
        <v>6</v>
      </c>
      <c r="H48" s="1">
        <v>6</v>
      </c>
      <c r="K48" s="18" t="s">
        <v>58</v>
      </c>
      <c r="L48" s="19" t="s">
        <v>11</v>
      </c>
    </row>
    <row r="49" spans="1:16" ht="19.5" customHeight="1" thickBot="1" x14ac:dyDescent="0.25">
      <c r="A49" s="564"/>
      <c r="B49" s="247" t="s">
        <v>59</v>
      </c>
      <c r="C49" s="250" t="s">
        <v>292</v>
      </c>
      <c r="D49" s="1">
        <v>5</v>
      </c>
      <c r="E49" s="1">
        <v>5</v>
      </c>
      <c r="F49" s="1">
        <v>5</v>
      </c>
      <c r="G49" s="1">
        <v>5</v>
      </c>
      <c r="H49" s="1">
        <v>5</v>
      </c>
      <c r="K49" s="20" t="s">
        <v>59</v>
      </c>
      <c r="L49" s="21" t="s">
        <v>10</v>
      </c>
    </row>
    <row r="50" spans="1:16" ht="19.5" customHeight="1" thickBot="1" x14ac:dyDescent="0.25">
      <c r="A50" s="564"/>
      <c r="B50" s="247" t="s">
        <v>60</v>
      </c>
      <c r="C50" s="251" t="s">
        <v>157</v>
      </c>
      <c r="D50" s="1">
        <v>5</v>
      </c>
      <c r="E50" s="1">
        <v>5</v>
      </c>
      <c r="F50" s="1">
        <v>5</v>
      </c>
      <c r="G50" s="1">
        <v>5</v>
      </c>
      <c r="H50" s="1">
        <v>5</v>
      </c>
      <c r="K50" s="20" t="s">
        <v>60</v>
      </c>
      <c r="L50" s="21" t="s">
        <v>41</v>
      </c>
    </row>
    <row r="51" spans="1:16" ht="19.5" customHeight="1" thickBot="1" x14ac:dyDescent="0.25">
      <c r="A51" s="564"/>
      <c r="B51" s="247" t="s">
        <v>61</v>
      </c>
      <c r="C51" s="252" t="s">
        <v>293</v>
      </c>
      <c r="D51" s="1">
        <v>3</v>
      </c>
      <c r="E51" s="1">
        <v>3</v>
      </c>
      <c r="F51" s="1">
        <v>3</v>
      </c>
      <c r="G51" s="1">
        <v>3</v>
      </c>
      <c r="H51" s="1">
        <v>3</v>
      </c>
      <c r="K51" s="20" t="s">
        <v>61</v>
      </c>
      <c r="L51" s="21" t="s">
        <v>42</v>
      </c>
    </row>
    <row r="52" spans="1:16" ht="19.5" customHeight="1" thickBot="1" x14ac:dyDescent="0.25">
      <c r="A52" s="564"/>
      <c r="B52" s="247" t="s">
        <v>62</v>
      </c>
      <c r="C52" s="253" t="s">
        <v>294</v>
      </c>
      <c r="D52" s="1">
        <v>4</v>
      </c>
      <c r="E52" s="1">
        <v>4</v>
      </c>
      <c r="F52" s="1">
        <v>4</v>
      </c>
      <c r="G52" s="1">
        <v>4</v>
      </c>
      <c r="H52" s="1">
        <v>4</v>
      </c>
      <c r="K52" s="20" t="s">
        <v>62</v>
      </c>
      <c r="L52" s="21" t="s">
        <v>55</v>
      </c>
    </row>
    <row r="53" spans="1:16" ht="19.5" customHeight="1" thickBot="1" x14ac:dyDescent="0.25">
      <c r="A53" s="564"/>
      <c r="B53" s="247" t="s">
        <v>63</v>
      </c>
      <c r="C53" s="254" t="s">
        <v>295</v>
      </c>
      <c r="D53" s="1">
        <v>4</v>
      </c>
      <c r="E53" s="1">
        <v>4</v>
      </c>
      <c r="F53" s="1">
        <v>4</v>
      </c>
      <c r="G53" s="1">
        <v>4</v>
      </c>
      <c r="H53" s="1">
        <v>4</v>
      </c>
      <c r="K53" s="20" t="s">
        <v>63</v>
      </c>
      <c r="L53" s="21" t="s">
        <v>44</v>
      </c>
    </row>
    <row r="54" spans="1:16" ht="19.5" customHeight="1" thickBot="1" x14ac:dyDescent="0.25">
      <c r="A54" s="564"/>
      <c r="B54" s="247" t="s">
        <v>64</v>
      </c>
      <c r="C54" s="255" t="s">
        <v>296</v>
      </c>
      <c r="D54" s="1">
        <v>3</v>
      </c>
      <c r="E54" s="1">
        <v>3</v>
      </c>
      <c r="F54" s="1">
        <v>3</v>
      </c>
      <c r="G54" s="1">
        <v>3</v>
      </c>
      <c r="H54" s="1">
        <v>3</v>
      </c>
      <c r="K54" s="20" t="s">
        <v>64</v>
      </c>
      <c r="L54" s="21" t="s">
        <v>56</v>
      </c>
    </row>
    <row r="55" spans="1:16" ht="19.5" customHeight="1" thickBot="1" x14ac:dyDescent="0.4">
      <c r="A55" s="564"/>
      <c r="B55" s="247" t="s">
        <v>65</v>
      </c>
      <c r="C55" s="256" t="s">
        <v>297</v>
      </c>
      <c r="D55" s="1">
        <v>2</v>
      </c>
      <c r="E55" s="1">
        <v>2</v>
      </c>
      <c r="F55" s="1">
        <v>2</v>
      </c>
      <c r="G55" s="1">
        <v>2</v>
      </c>
      <c r="H55" s="1">
        <v>2</v>
      </c>
      <c r="K55" s="20" t="s">
        <v>65</v>
      </c>
      <c r="L55" s="21" t="s">
        <v>32</v>
      </c>
      <c r="N55" s="17" t="s">
        <v>122</v>
      </c>
    </row>
    <row r="56" spans="1:16" ht="19.5" customHeight="1" thickBot="1" x14ac:dyDescent="0.4">
      <c r="A56" s="564"/>
      <c r="B56" s="247" t="s">
        <v>66</v>
      </c>
      <c r="C56" s="257" t="s">
        <v>298</v>
      </c>
      <c r="D56" s="1">
        <v>5</v>
      </c>
      <c r="E56" s="1">
        <v>5</v>
      </c>
      <c r="F56" s="1">
        <v>5</v>
      </c>
      <c r="G56" s="1">
        <v>5</v>
      </c>
      <c r="H56" s="1">
        <v>5</v>
      </c>
      <c r="K56" s="20" t="s">
        <v>66</v>
      </c>
      <c r="L56" s="21" t="s">
        <v>33</v>
      </c>
      <c r="M56" t="s">
        <v>73</v>
      </c>
      <c r="N56" s="17" t="s">
        <v>123</v>
      </c>
      <c r="O56" s="12"/>
      <c r="P56" s="12"/>
    </row>
    <row r="57" spans="1:16" ht="19.5" customHeight="1" thickBot="1" x14ac:dyDescent="0.25">
      <c r="A57" s="564"/>
      <c r="B57" s="247" t="s">
        <v>67</v>
      </c>
      <c r="C57" s="258" t="s">
        <v>152</v>
      </c>
      <c r="D57" s="1">
        <v>3</v>
      </c>
      <c r="E57" s="1">
        <v>3</v>
      </c>
      <c r="F57" s="1">
        <v>3</v>
      </c>
      <c r="G57" s="1">
        <v>3</v>
      </c>
      <c r="H57" s="1">
        <v>3</v>
      </c>
      <c r="K57" s="20" t="s">
        <v>67</v>
      </c>
      <c r="L57" s="21" t="s">
        <v>43</v>
      </c>
      <c r="M57" t="s">
        <v>73</v>
      </c>
    </row>
    <row r="58" spans="1:16" ht="19.5" customHeight="1" thickBot="1" x14ac:dyDescent="0.25">
      <c r="A58" s="565"/>
      <c r="B58" s="247" t="s">
        <v>68</v>
      </c>
      <c r="C58" s="259" t="s">
        <v>299</v>
      </c>
      <c r="D58" s="1">
        <v>2</v>
      </c>
      <c r="E58" s="1">
        <v>2</v>
      </c>
      <c r="F58" s="1">
        <v>2</v>
      </c>
      <c r="G58" s="1">
        <v>2</v>
      </c>
      <c r="H58" s="1">
        <v>2</v>
      </c>
      <c r="K58" s="22" t="s">
        <v>68</v>
      </c>
      <c r="L58" s="23" t="str">
        <f t="shared" ref="L58:L63" si="0">+"Educación para el Trabajo"&amp;M57&amp;" "&amp;N58</f>
        <v>Educación para el Trabajo: COMPUTACION</v>
      </c>
      <c r="M58" t="s">
        <v>73</v>
      </c>
      <c r="N58" s="15" t="s">
        <v>155</v>
      </c>
      <c r="O58" s="13"/>
      <c r="P58" s="13"/>
    </row>
    <row r="59" spans="1:16" ht="19.5" customHeight="1" thickBot="1" x14ac:dyDescent="0.25">
      <c r="A59" s="231"/>
      <c r="B59" s="247" t="s">
        <v>69</v>
      </c>
      <c r="C59" s="248" t="s">
        <v>158</v>
      </c>
      <c r="D59" s="1">
        <v>3</v>
      </c>
      <c r="E59" s="1">
        <v>3</v>
      </c>
      <c r="F59" s="1">
        <v>3</v>
      </c>
      <c r="G59" s="1">
        <v>3</v>
      </c>
      <c r="H59" s="230">
        <v>3</v>
      </c>
      <c r="K59" s="22" t="s">
        <v>68</v>
      </c>
      <c r="L59" s="23" t="str">
        <f t="shared" si="0"/>
        <v xml:space="preserve">Educación para el Trabajo: </v>
      </c>
      <c r="N59" s="15"/>
      <c r="O59" s="13"/>
      <c r="P59" s="13"/>
    </row>
    <row r="60" spans="1:16" ht="18.75" customHeight="1" thickBot="1" x14ac:dyDescent="0.25">
      <c r="A60" s="566" t="s">
        <v>57</v>
      </c>
      <c r="B60" s="567"/>
      <c r="C60" s="568"/>
      <c r="D60" s="232">
        <f>SUM(D48:D59)</f>
        <v>45</v>
      </c>
      <c r="E60" s="232">
        <f>SUM(E48:E59)</f>
        <v>45</v>
      </c>
      <c r="F60" s="232">
        <f>SUM(F48:F59)</f>
        <v>45</v>
      </c>
      <c r="G60" s="232">
        <f>SUM(G48:G59)</f>
        <v>45</v>
      </c>
      <c r="H60" s="233">
        <f>SUM(H48:H59)</f>
        <v>45</v>
      </c>
      <c r="K60" s="22" t="s">
        <v>68</v>
      </c>
      <c r="L60" s="23" t="str">
        <f t="shared" si="0"/>
        <v xml:space="preserve">Educación para el Trabajo </v>
      </c>
      <c r="M60" t="s">
        <v>73</v>
      </c>
      <c r="N60" s="15"/>
      <c r="O60" s="13"/>
      <c r="P60" s="13"/>
    </row>
    <row r="61" spans="1:16" ht="15.75" thickBot="1" x14ac:dyDescent="0.25">
      <c r="K61" s="22" t="s">
        <v>68</v>
      </c>
      <c r="L61" s="23" t="str">
        <f t="shared" si="0"/>
        <v xml:space="preserve">Educación para el Trabajo: </v>
      </c>
      <c r="M61" t="s">
        <v>73</v>
      </c>
      <c r="N61" s="15"/>
      <c r="O61" s="13"/>
      <c r="P61" s="13"/>
    </row>
    <row r="62" spans="1:16" ht="15.75" thickBot="1" x14ac:dyDescent="0.25">
      <c r="K62" s="22" t="s">
        <v>68</v>
      </c>
      <c r="L62" s="23" t="str">
        <f t="shared" si="0"/>
        <v xml:space="preserve">Educación para el Trabajo: </v>
      </c>
      <c r="M62" t="s">
        <v>73</v>
      </c>
      <c r="N62" s="15"/>
      <c r="O62" s="13"/>
      <c r="P62" s="13"/>
    </row>
    <row r="63" spans="1:16" ht="15.75" thickBot="1" x14ac:dyDescent="0.25">
      <c r="K63" s="22" t="s">
        <v>68</v>
      </c>
      <c r="L63" s="23" t="str">
        <f t="shared" si="0"/>
        <v xml:space="preserve">Educación para el Trabajo: </v>
      </c>
      <c r="N63" s="15"/>
      <c r="O63" s="13"/>
      <c r="P63" s="13"/>
    </row>
    <row r="64" spans="1:16" ht="15.75" thickBot="1" x14ac:dyDescent="0.25">
      <c r="K64" s="20" t="s">
        <v>69</v>
      </c>
      <c r="L64" s="149" t="s">
        <v>154</v>
      </c>
      <c r="M64" t="s">
        <v>73</v>
      </c>
      <c r="N64" s="15"/>
      <c r="O64" s="13"/>
      <c r="P64" s="13"/>
    </row>
    <row r="65" spans="1:16" ht="15.75" thickBot="1" x14ac:dyDescent="0.25">
      <c r="K65" s="150" t="s">
        <v>153</v>
      </c>
      <c r="L65" s="151" t="s">
        <v>109</v>
      </c>
      <c r="N65" s="15"/>
      <c r="O65" s="13"/>
      <c r="P65" s="13"/>
    </row>
    <row r="72" spans="1:16" ht="13.5" thickBot="1" x14ac:dyDescent="0.25"/>
    <row r="73" spans="1:16" ht="24" thickBot="1" x14ac:dyDescent="0.4">
      <c r="A73" s="572" t="s">
        <v>221</v>
      </c>
      <c r="B73" s="573"/>
      <c r="C73" s="573"/>
      <c r="D73" s="573"/>
      <c r="E73" s="573"/>
      <c r="F73" s="573"/>
      <c r="G73" s="573"/>
      <c r="H73" s="574"/>
    </row>
    <row r="74" spans="1:16" ht="15.75" thickBot="1" x14ac:dyDescent="0.25">
      <c r="A74" s="560" t="s">
        <v>53</v>
      </c>
      <c r="B74" s="561"/>
      <c r="C74" s="575"/>
      <c r="D74" s="269" t="s">
        <v>0</v>
      </c>
      <c r="E74" s="270" t="s">
        <v>1</v>
      </c>
      <c r="F74" s="270" t="s">
        <v>2</v>
      </c>
      <c r="G74" s="270" t="s">
        <v>3</v>
      </c>
      <c r="H74" s="271" t="s">
        <v>4</v>
      </c>
    </row>
    <row r="75" spans="1:16" ht="15.75" thickBot="1" x14ac:dyDescent="0.25">
      <c r="A75" s="563" t="s">
        <v>54</v>
      </c>
      <c r="B75" s="247" t="s">
        <v>58</v>
      </c>
      <c r="C75" s="260" t="s">
        <v>156</v>
      </c>
      <c r="D75" s="272">
        <v>4</v>
      </c>
      <c r="E75" s="1">
        <v>4</v>
      </c>
      <c r="F75" s="1">
        <v>4</v>
      </c>
      <c r="G75" s="1">
        <v>4</v>
      </c>
      <c r="H75" s="230">
        <v>4</v>
      </c>
    </row>
    <row r="76" spans="1:16" ht="15.75" thickBot="1" x14ac:dyDescent="0.25">
      <c r="A76" s="564"/>
      <c r="B76" s="247" t="s">
        <v>59</v>
      </c>
      <c r="C76" s="261" t="s">
        <v>292</v>
      </c>
      <c r="D76" s="272">
        <v>4</v>
      </c>
      <c r="E76" s="1">
        <v>4</v>
      </c>
      <c r="F76" s="1">
        <v>4</v>
      </c>
      <c r="G76" s="1">
        <v>4</v>
      </c>
      <c r="H76" s="230">
        <v>4</v>
      </c>
    </row>
    <row r="77" spans="1:16" ht="15.75" thickBot="1" x14ac:dyDescent="0.25">
      <c r="A77" s="564"/>
      <c r="B77" s="247" t="s">
        <v>60</v>
      </c>
      <c r="C77" s="262" t="s">
        <v>300</v>
      </c>
      <c r="D77" s="272">
        <v>3</v>
      </c>
      <c r="E77" s="1">
        <v>3</v>
      </c>
      <c r="F77" s="1">
        <v>3</v>
      </c>
      <c r="G77" s="1">
        <v>3</v>
      </c>
      <c r="H77" s="230">
        <v>3</v>
      </c>
    </row>
    <row r="78" spans="1:16" ht="15.75" thickBot="1" x14ac:dyDescent="0.25">
      <c r="A78" s="564"/>
      <c r="B78" s="247" t="s">
        <v>61</v>
      </c>
      <c r="C78" s="262" t="s">
        <v>301</v>
      </c>
      <c r="D78" s="272">
        <v>3</v>
      </c>
      <c r="E78" s="1">
        <v>3</v>
      </c>
      <c r="F78" s="1">
        <v>3</v>
      </c>
      <c r="G78" s="1">
        <v>3</v>
      </c>
      <c r="H78" s="230">
        <v>3</v>
      </c>
    </row>
    <row r="79" spans="1:16" ht="15.75" thickBot="1" x14ac:dyDescent="0.25">
      <c r="A79" s="564"/>
      <c r="B79" s="247" t="s">
        <v>62</v>
      </c>
      <c r="C79" s="263" t="s">
        <v>152</v>
      </c>
      <c r="D79" s="272">
        <v>3</v>
      </c>
      <c r="E79" s="1">
        <v>3</v>
      </c>
      <c r="F79" s="1">
        <v>3</v>
      </c>
      <c r="G79" s="1">
        <v>3</v>
      </c>
      <c r="H79" s="230">
        <v>3</v>
      </c>
    </row>
    <row r="80" spans="1:16" ht="15.75" thickBot="1" x14ac:dyDescent="0.25">
      <c r="A80" s="564"/>
      <c r="B80" s="247" t="s">
        <v>63</v>
      </c>
      <c r="C80" s="264" t="s">
        <v>157</v>
      </c>
      <c r="D80" s="272">
        <v>3</v>
      </c>
      <c r="E80" s="1">
        <v>3</v>
      </c>
      <c r="F80" s="1">
        <v>3</v>
      </c>
      <c r="G80" s="1">
        <v>3</v>
      </c>
      <c r="H80" s="230">
        <v>3</v>
      </c>
    </row>
    <row r="81" spans="1:8" ht="15.75" thickBot="1" x14ac:dyDescent="0.25">
      <c r="A81" s="564"/>
      <c r="B81" s="247" t="s">
        <v>64</v>
      </c>
      <c r="C81" s="265" t="s">
        <v>297</v>
      </c>
      <c r="D81" s="272">
        <v>3</v>
      </c>
      <c r="E81" s="1">
        <v>3</v>
      </c>
      <c r="F81" s="1">
        <v>3</v>
      </c>
      <c r="G81" s="1">
        <v>3</v>
      </c>
      <c r="H81" s="230">
        <v>3</v>
      </c>
    </row>
    <row r="82" spans="1:8" ht="15.75" thickBot="1" x14ac:dyDescent="0.25">
      <c r="A82" s="564"/>
      <c r="B82" s="247" t="s">
        <v>65</v>
      </c>
      <c r="C82" s="266" t="s">
        <v>293</v>
      </c>
      <c r="D82" s="272">
        <v>2</v>
      </c>
      <c r="E82" s="1">
        <v>2</v>
      </c>
      <c r="F82" s="1">
        <v>2</v>
      </c>
      <c r="G82" s="1">
        <v>2</v>
      </c>
      <c r="H82" s="230">
        <v>2</v>
      </c>
    </row>
    <row r="83" spans="1:8" ht="15.75" thickBot="1" x14ac:dyDescent="0.25">
      <c r="A83" s="564"/>
      <c r="B83" s="247" t="s">
        <v>66</v>
      </c>
      <c r="C83" s="267" t="s">
        <v>296</v>
      </c>
      <c r="D83" s="272">
        <v>4</v>
      </c>
      <c r="E83" s="1">
        <v>4</v>
      </c>
      <c r="F83" s="1">
        <v>4</v>
      </c>
      <c r="G83" s="1">
        <v>4</v>
      </c>
      <c r="H83" s="230">
        <v>4</v>
      </c>
    </row>
    <row r="84" spans="1:8" ht="16.5" thickBot="1" x14ac:dyDescent="0.25">
      <c r="A84" s="231"/>
      <c r="B84" s="247" t="s">
        <v>69</v>
      </c>
      <c r="C84" s="268" t="s">
        <v>158</v>
      </c>
      <c r="D84" s="272">
        <v>2</v>
      </c>
      <c r="E84" s="1">
        <v>2</v>
      </c>
      <c r="F84" s="1">
        <v>2</v>
      </c>
      <c r="G84" s="1">
        <v>2</v>
      </c>
      <c r="H84" s="230">
        <v>2</v>
      </c>
    </row>
    <row r="85" spans="1:8" ht="16.5" thickBot="1" x14ac:dyDescent="0.25">
      <c r="A85" s="566" t="s">
        <v>57</v>
      </c>
      <c r="B85" s="567"/>
      <c r="C85" s="576"/>
      <c r="D85" s="273">
        <f>SUM(D75:D84)</f>
        <v>31</v>
      </c>
      <c r="E85" s="232">
        <f>SUM(E75:E84)</f>
        <v>31</v>
      </c>
      <c r="F85" s="232">
        <f>SUM(F75:F84)</f>
        <v>31</v>
      </c>
      <c r="G85" s="232">
        <f>SUM(G75:G84)</f>
        <v>31</v>
      </c>
      <c r="H85" s="233">
        <f>SUM(H75:H84)</f>
        <v>31</v>
      </c>
    </row>
  </sheetData>
  <mergeCells count="20">
    <mergeCell ref="A73:H73"/>
    <mergeCell ref="A74:C74"/>
    <mergeCell ref="A75:A83"/>
    <mergeCell ref="A85:C85"/>
    <mergeCell ref="D3:H3"/>
    <mergeCell ref="A3:C3"/>
    <mergeCell ref="A4:C4"/>
    <mergeCell ref="A24:H24"/>
    <mergeCell ref="A25:C25"/>
    <mergeCell ref="D25:H25"/>
    <mergeCell ref="A2:H2"/>
    <mergeCell ref="A47:C47"/>
    <mergeCell ref="A48:A58"/>
    <mergeCell ref="A60:C60"/>
    <mergeCell ref="A46:H46"/>
    <mergeCell ref="A17:C17"/>
    <mergeCell ref="A26:C26"/>
    <mergeCell ref="A27:A37"/>
    <mergeCell ref="A39:C39"/>
    <mergeCell ref="A5:A15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1D3AE-FC3F-4B1D-86E9-FF90EBD5C874}">
  <sheetPr codeName="Hoja11">
    <tabColor rgb="FF92D050"/>
  </sheetPr>
  <dimension ref="A1:E134"/>
  <sheetViews>
    <sheetView workbookViewId="0">
      <selection activeCell="B54" sqref="B54"/>
    </sheetView>
  </sheetViews>
  <sheetFormatPr baseColWidth="10" defaultRowHeight="12.75" x14ac:dyDescent="0.2"/>
  <cols>
    <col min="1" max="1" width="71.140625" bestFit="1" customWidth="1"/>
    <col min="2" max="2" width="66.7109375" customWidth="1"/>
    <col min="3" max="3" width="15" customWidth="1"/>
    <col min="4" max="4" width="5.5703125" customWidth="1"/>
    <col min="5" max="5" width="42.28515625" customWidth="1"/>
  </cols>
  <sheetData>
    <row r="1" spans="1:5" ht="13.5" thickBot="1" x14ac:dyDescent="0.25">
      <c r="A1" s="279" t="s">
        <v>302</v>
      </c>
      <c r="B1" s="279"/>
      <c r="C1" s="279" t="s">
        <v>74</v>
      </c>
      <c r="D1" s="279" t="s">
        <v>161</v>
      </c>
      <c r="E1" s="279" t="s">
        <v>303</v>
      </c>
    </row>
    <row r="2" spans="1:5" ht="15.75" customHeight="1" thickBot="1" x14ac:dyDescent="0.25">
      <c r="A2" s="278" t="str">
        <f>B2&amp;C2&amp;D2</f>
        <v>SAN IGNACIO DE LOYOLAJER-EIB1</v>
      </c>
      <c r="B2" s="178" t="s">
        <v>130</v>
      </c>
      <c r="C2" s="277" t="s">
        <v>478</v>
      </c>
      <c r="D2" s="2">
        <v>1</v>
      </c>
      <c r="E2" s="249" t="s">
        <v>156</v>
      </c>
    </row>
    <row r="3" spans="1:5" ht="15.75" customHeight="1" thickBot="1" x14ac:dyDescent="0.25">
      <c r="A3" s="278" t="str">
        <f t="shared" ref="A3:A33" si="0">B3&amp;C3&amp;D3</f>
        <v>SAN IGNACIO DE LOYOLAJER-EIB2</v>
      </c>
      <c r="B3" s="178" t="s">
        <v>130</v>
      </c>
      <c r="C3" s="277" t="s">
        <v>478</v>
      </c>
      <c r="D3" s="2">
        <v>2</v>
      </c>
      <c r="E3" s="250" t="s">
        <v>342</v>
      </c>
    </row>
    <row r="4" spans="1:5" ht="15.75" customHeight="1" thickBot="1" x14ac:dyDescent="0.25">
      <c r="A4" s="278" t="str">
        <f>B4&amp;C4&amp;D4</f>
        <v>SAN IGNACIO DE LOYOLAJER-EIB3</v>
      </c>
      <c r="B4" s="178" t="s">
        <v>130</v>
      </c>
      <c r="C4" s="277" t="s">
        <v>478</v>
      </c>
      <c r="D4" s="2">
        <v>3</v>
      </c>
      <c r="E4" s="250" t="s">
        <v>343</v>
      </c>
    </row>
    <row r="5" spans="1:5" ht="15.75" customHeight="1" thickBot="1" x14ac:dyDescent="0.25">
      <c r="A5" s="278" t="str">
        <f t="shared" si="0"/>
        <v>SAN IGNACIO DE LOYOLAJER-EIB4</v>
      </c>
      <c r="B5" s="178" t="s">
        <v>130</v>
      </c>
      <c r="C5" s="277" t="s">
        <v>478</v>
      </c>
      <c r="D5" s="2">
        <v>4</v>
      </c>
      <c r="E5" s="251" t="s">
        <v>157</v>
      </c>
    </row>
    <row r="6" spans="1:5" ht="15.75" customHeight="1" thickBot="1" x14ac:dyDescent="0.25">
      <c r="A6" s="278" t="str">
        <f t="shared" si="0"/>
        <v>SAN IGNACIO DE LOYOLAJER-EIB5</v>
      </c>
      <c r="B6" s="178" t="s">
        <v>130</v>
      </c>
      <c r="C6" s="277" t="s">
        <v>478</v>
      </c>
      <c r="D6" s="2">
        <v>5</v>
      </c>
      <c r="E6" s="252" t="s">
        <v>293</v>
      </c>
    </row>
    <row r="7" spans="1:5" ht="15.75" customHeight="1" thickBot="1" x14ac:dyDescent="0.25">
      <c r="A7" s="278" t="str">
        <f t="shared" si="0"/>
        <v>SAN IGNACIO DE LOYOLAJER-EIB6</v>
      </c>
      <c r="B7" s="178" t="s">
        <v>130</v>
      </c>
      <c r="C7" s="277" t="s">
        <v>478</v>
      </c>
      <c r="D7" s="2">
        <v>6</v>
      </c>
      <c r="E7" s="253" t="s">
        <v>294</v>
      </c>
    </row>
    <row r="8" spans="1:5" ht="15.75" customHeight="1" thickBot="1" x14ac:dyDescent="0.25">
      <c r="A8" s="278" t="str">
        <f t="shared" si="0"/>
        <v>SAN IGNACIO DE LOYOLAJER-EIB7</v>
      </c>
      <c r="B8" s="178" t="s">
        <v>130</v>
      </c>
      <c r="C8" s="277" t="s">
        <v>478</v>
      </c>
      <c r="D8" s="2">
        <v>7</v>
      </c>
      <c r="E8" s="254" t="s">
        <v>295</v>
      </c>
    </row>
    <row r="9" spans="1:5" ht="15.75" customHeight="1" thickBot="1" x14ac:dyDescent="0.25">
      <c r="A9" s="278" t="str">
        <f t="shared" si="0"/>
        <v>SAN IGNACIO DE LOYOLAJER-EIB8</v>
      </c>
      <c r="B9" s="178" t="s">
        <v>130</v>
      </c>
      <c r="C9" s="277" t="s">
        <v>478</v>
      </c>
      <c r="D9" s="2">
        <v>8</v>
      </c>
      <c r="E9" s="255" t="s">
        <v>296</v>
      </c>
    </row>
    <row r="10" spans="1:5" ht="15.75" customHeight="1" thickBot="1" x14ac:dyDescent="0.25">
      <c r="A10" s="278" t="str">
        <f t="shared" si="0"/>
        <v>SAN IGNACIO DE LOYOLAJER-EIB9</v>
      </c>
      <c r="B10" s="178" t="s">
        <v>130</v>
      </c>
      <c r="C10" s="277" t="s">
        <v>478</v>
      </c>
      <c r="D10" s="2">
        <v>9</v>
      </c>
      <c r="E10" s="256" t="s">
        <v>297</v>
      </c>
    </row>
    <row r="11" spans="1:5" ht="15.75" customHeight="1" thickBot="1" x14ac:dyDescent="0.25">
      <c r="A11" s="278" t="str">
        <f t="shared" si="0"/>
        <v>SAN IGNACIO DE LOYOLAJER-EIB10</v>
      </c>
      <c r="B11" s="178" t="s">
        <v>130</v>
      </c>
      <c r="C11" s="277" t="s">
        <v>478</v>
      </c>
      <c r="D11" s="2">
        <v>10</v>
      </c>
      <c r="E11" s="257" t="s">
        <v>298</v>
      </c>
    </row>
    <row r="12" spans="1:5" ht="15.75" customHeight="1" thickBot="1" x14ac:dyDescent="0.25">
      <c r="A12" s="278" t="str">
        <f t="shared" si="0"/>
        <v>SAN IGNACIO DE LOYOLAJER-EIB11</v>
      </c>
      <c r="B12" s="178" t="s">
        <v>130</v>
      </c>
      <c r="C12" s="277" t="s">
        <v>478</v>
      </c>
      <c r="D12" s="2">
        <v>11</v>
      </c>
      <c r="E12" s="258" t="s">
        <v>152</v>
      </c>
    </row>
    <row r="13" spans="1:5" ht="15.75" customHeight="1" thickBot="1" x14ac:dyDescent="0.25">
      <c r="A13" s="278" t="str">
        <f t="shared" si="0"/>
        <v>SAN IGNACIO DE LOYOLAJER-EIB12</v>
      </c>
      <c r="B13" s="178" t="s">
        <v>130</v>
      </c>
      <c r="C13" s="277" t="s">
        <v>478</v>
      </c>
      <c r="D13" s="2">
        <v>12</v>
      </c>
      <c r="E13" s="259" t="s">
        <v>299</v>
      </c>
    </row>
    <row r="14" spans="1:5" ht="16.5" thickBot="1" x14ac:dyDescent="0.25">
      <c r="A14" s="278" t="str">
        <f t="shared" si="0"/>
        <v>SAN IGNACIO DE LOYOLAJER-EIB13</v>
      </c>
      <c r="B14" s="178" t="s">
        <v>130</v>
      </c>
      <c r="C14" s="277" t="s">
        <v>478</v>
      </c>
      <c r="D14" s="2">
        <v>13</v>
      </c>
      <c r="E14" s="172" t="s">
        <v>158</v>
      </c>
    </row>
    <row r="15" spans="1:5" ht="15.75" customHeight="1" thickBot="1" x14ac:dyDescent="0.25">
      <c r="A15" s="278" t="str">
        <f t="shared" si="0"/>
        <v>ANTONIO RAYMONDIJER-EIB1</v>
      </c>
      <c r="B15" s="186" t="s">
        <v>129</v>
      </c>
      <c r="C15" s="277" t="s">
        <v>478</v>
      </c>
      <c r="D15" s="2">
        <v>1</v>
      </c>
      <c r="E15" s="249" t="s">
        <v>156</v>
      </c>
    </row>
    <row r="16" spans="1:5" ht="15.75" customHeight="1" thickBot="1" x14ac:dyDescent="0.25">
      <c r="A16" s="278" t="str">
        <f t="shared" si="0"/>
        <v>ANTONIO RAYMONDIJER-EIB2</v>
      </c>
      <c r="B16" s="186" t="s">
        <v>129</v>
      </c>
      <c r="C16" s="277" t="s">
        <v>478</v>
      </c>
      <c r="D16" s="2">
        <v>2</v>
      </c>
      <c r="E16" s="250" t="s">
        <v>344</v>
      </c>
    </row>
    <row r="17" spans="1:5" ht="15.75" customHeight="1" thickBot="1" x14ac:dyDescent="0.25">
      <c r="A17" s="278" t="str">
        <f>B17&amp;C17&amp;D17</f>
        <v>ANTONIO RAYMONDIJER-EIB3</v>
      </c>
      <c r="B17" s="186" t="s">
        <v>129</v>
      </c>
      <c r="C17" s="277" t="s">
        <v>478</v>
      </c>
      <c r="D17" s="2">
        <v>3</v>
      </c>
      <c r="E17" s="250" t="s">
        <v>347</v>
      </c>
    </row>
    <row r="18" spans="1:5" ht="15.75" customHeight="1" thickBot="1" x14ac:dyDescent="0.25">
      <c r="A18" s="278" t="str">
        <f t="shared" si="0"/>
        <v>ANTONIO RAYMONDIJER-EIB4</v>
      </c>
      <c r="B18" s="186" t="s">
        <v>129</v>
      </c>
      <c r="C18" s="277" t="s">
        <v>478</v>
      </c>
      <c r="D18" s="2">
        <v>4</v>
      </c>
      <c r="E18" s="251" t="s">
        <v>157</v>
      </c>
    </row>
    <row r="19" spans="1:5" ht="15.75" customHeight="1" thickBot="1" x14ac:dyDescent="0.25">
      <c r="A19" s="278" t="str">
        <f t="shared" si="0"/>
        <v>ANTONIO RAYMONDIJER-EIB5</v>
      </c>
      <c r="B19" s="186" t="s">
        <v>129</v>
      </c>
      <c r="C19" s="277" t="s">
        <v>478</v>
      </c>
      <c r="D19" s="2">
        <v>5</v>
      </c>
      <c r="E19" s="252" t="s">
        <v>293</v>
      </c>
    </row>
    <row r="20" spans="1:5" ht="15.75" customHeight="1" thickBot="1" x14ac:dyDescent="0.25">
      <c r="A20" s="278" t="str">
        <f t="shared" si="0"/>
        <v>ANTONIO RAYMONDIJER-EIB6</v>
      </c>
      <c r="B20" s="186" t="s">
        <v>129</v>
      </c>
      <c r="C20" s="277" t="s">
        <v>478</v>
      </c>
      <c r="D20" s="2">
        <v>6</v>
      </c>
      <c r="E20" s="253" t="s">
        <v>294</v>
      </c>
    </row>
    <row r="21" spans="1:5" ht="15.75" customHeight="1" thickBot="1" x14ac:dyDescent="0.25">
      <c r="A21" s="278" t="str">
        <f t="shared" si="0"/>
        <v>ANTONIO RAYMONDIJER-EIB7</v>
      </c>
      <c r="B21" s="186" t="s">
        <v>129</v>
      </c>
      <c r="C21" s="277" t="s">
        <v>478</v>
      </c>
      <c r="D21" s="2">
        <v>7</v>
      </c>
      <c r="E21" s="254" t="s">
        <v>295</v>
      </c>
    </row>
    <row r="22" spans="1:5" ht="15.75" customHeight="1" thickBot="1" x14ac:dyDescent="0.25">
      <c r="A22" s="278" t="str">
        <f t="shared" si="0"/>
        <v>ANTONIO RAYMONDIJER-EIB8</v>
      </c>
      <c r="B22" s="186" t="s">
        <v>129</v>
      </c>
      <c r="C22" s="277" t="s">
        <v>478</v>
      </c>
      <c r="D22" s="2">
        <v>8</v>
      </c>
      <c r="E22" s="255" t="s">
        <v>296</v>
      </c>
    </row>
    <row r="23" spans="1:5" ht="15.75" customHeight="1" thickBot="1" x14ac:dyDescent="0.25">
      <c r="A23" s="278" t="str">
        <f t="shared" si="0"/>
        <v>ANTONIO RAYMONDIJER-EIB9</v>
      </c>
      <c r="B23" s="186" t="s">
        <v>129</v>
      </c>
      <c r="C23" s="277" t="s">
        <v>478</v>
      </c>
      <c r="D23" s="2">
        <v>9</v>
      </c>
      <c r="E23" s="256" t="s">
        <v>297</v>
      </c>
    </row>
    <row r="24" spans="1:5" ht="15.75" customHeight="1" thickBot="1" x14ac:dyDescent="0.25">
      <c r="A24" s="278" t="str">
        <f t="shared" si="0"/>
        <v>ANTONIO RAYMONDIJER-EIB10</v>
      </c>
      <c r="B24" s="186" t="s">
        <v>129</v>
      </c>
      <c r="C24" s="277" t="s">
        <v>478</v>
      </c>
      <c r="D24" s="2">
        <v>10</v>
      </c>
      <c r="E24" s="257" t="s">
        <v>298</v>
      </c>
    </row>
    <row r="25" spans="1:5" ht="15.75" customHeight="1" thickBot="1" x14ac:dyDescent="0.25">
      <c r="A25" s="278" t="str">
        <f t="shared" si="0"/>
        <v>ANTONIO RAYMONDIJER-EIB11</v>
      </c>
      <c r="B25" s="186" t="s">
        <v>129</v>
      </c>
      <c r="C25" s="277" t="s">
        <v>478</v>
      </c>
      <c r="D25" s="2">
        <v>11</v>
      </c>
      <c r="E25" s="258" t="s">
        <v>152</v>
      </c>
    </row>
    <row r="26" spans="1:5" ht="15.75" customHeight="1" thickBot="1" x14ac:dyDescent="0.25">
      <c r="A26" s="278" t="str">
        <f t="shared" si="0"/>
        <v>ANTONIO RAYMONDIJER-EIB12</v>
      </c>
      <c r="B26" s="186" t="s">
        <v>129</v>
      </c>
      <c r="C26" s="277" t="s">
        <v>478</v>
      </c>
      <c r="D26" s="2">
        <v>12</v>
      </c>
      <c r="E26" s="259" t="s">
        <v>299</v>
      </c>
    </row>
    <row r="27" spans="1:5" ht="16.5" thickBot="1" x14ac:dyDescent="0.25">
      <c r="A27" s="278" t="str">
        <f t="shared" si="0"/>
        <v>ANTONIO RAYMONDIJER-EIB13</v>
      </c>
      <c r="B27" s="186" t="s">
        <v>129</v>
      </c>
      <c r="C27" s="277" t="s">
        <v>478</v>
      </c>
      <c r="D27" s="2">
        <v>13</v>
      </c>
      <c r="E27" s="172" t="s">
        <v>158</v>
      </c>
    </row>
    <row r="28" spans="1:5" ht="15.75" customHeight="1" thickBot="1" x14ac:dyDescent="0.25">
      <c r="A28" s="278" t="str">
        <f t="shared" si="0"/>
        <v>CORONEL ALFONSO UGARTEJER-EIB1</v>
      </c>
      <c r="B28" s="208" t="s">
        <v>131</v>
      </c>
      <c r="C28" s="277" t="s">
        <v>478</v>
      </c>
      <c r="D28" s="2">
        <v>1</v>
      </c>
      <c r="E28" s="249" t="s">
        <v>156</v>
      </c>
    </row>
    <row r="29" spans="1:5" ht="15.75" customHeight="1" thickBot="1" x14ac:dyDescent="0.25">
      <c r="A29" s="278" t="str">
        <f>B29&amp;C29&amp;D29</f>
        <v>CORONEL ALFONSO UGARTEJER-EIB2</v>
      </c>
      <c r="B29" s="208" t="s">
        <v>131</v>
      </c>
      <c r="C29" s="277" t="s">
        <v>478</v>
      </c>
      <c r="D29" s="2">
        <v>2</v>
      </c>
      <c r="E29" s="250" t="s">
        <v>342</v>
      </c>
    </row>
    <row r="30" spans="1:5" ht="15.75" customHeight="1" thickBot="1" x14ac:dyDescent="0.25">
      <c r="A30" s="278" t="str">
        <f t="shared" si="0"/>
        <v>CORONEL ALFONSO UGARTEJER-EIB3</v>
      </c>
      <c r="B30" s="208" t="s">
        <v>131</v>
      </c>
      <c r="C30" s="277" t="s">
        <v>478</v>
      </c>
      <c r="D30" s="2">
        <v>3</v>
      </c>
      <c r="E30" s="250" t="s">
        <v>343</v>
      </c>
    </row>
    <row r="31" spans="1:5" ht="15.75" customHeight="1" thickBot="1" x14ac:dyDescent="0.25">
      <c r="A31" s="278" t="str">
        <f t="shared" si="0"/>
        <v>CORONEL ALFONSO UGARTEJER-EIB4</v>
      </c>
      <c r="B31" s="208" t="s">
        <v>131</v>
      </c>
      <c r="C31" s="277" t="s">
        <v>478</v>
      </c>
      <c r="D31" s="2">
        <v>4</v>
      </c>
      <c r="E31" s="251" t="s">
        <v>157</v>
      </c>
    </row>
    <row r="32" spans="1:5" ht="15.75" customHeight="1" thickBot="1" x14ac:dyDescent="0.25">
      <c r="A32" s="278" t="str">
        <f t="shared" si="0"/>
        <v>CORONEL ALFONSO UGARTEJER-EIB5</v>
      </c>
      <c r="B32" s="208" t="s">
        <v>131</v>
      </c>
      <c r="C32" s="277" t="s">
        <v>478</v>
      </c>
      <c r="D32" s="2">
        <v>5</v>
      </c>
      <c r="E32" s="252" t="s">
        <v>293</v>
      </c>
    </row>
    <row r="33" spans="1:5" ht="15.75" customHeight="1" thickBot="1" x14ac:dyDescent="0.25">
      <c r="A33" s="278" t="str">
        <f t="shared" si="0"/>
        <v>CORONEL ALFONSO UGARTEJER-EIB6</v>
      </c>
      <c r="B33" s="208" t="s">
        <v>131</v>
      </c>
      <c r="C33" s="277" t="s">
        <v>478</v>
      </c>
      <c r="D33" s="2">
        <v>6</v>
      </c>
      <c r="E33" s="253" t="s">
        <v>294</v>
      </c>
    </row>
    <row r="34" spans="1:5" ht="15.75" customHeight="1" thickBot="1" x14ac:dyDescent="0.25">
      <c r="A34" s="278" t="str">
        <f t="shared" ref="A34:A66" si="1">B34&amp;C34&amp;D34</f>
        <v>CORONEL ALFONSO UGARTEJER-EIB7</v>
      </c>
      <c r="B34" s="208" t="s">
        <v>131</v>
      </c>
      <c r="C34" s="277" t="s">
        <v>478</v>
      </c>
      <c r="D34" s="2">
        <v>7</v>
      </c>
      <c r="E34" s="254" t="s">
        <v>295</v>
      </c>
    </row>
    <row r="35" spans="1:5" ht="15.75" customHeight="1" thickBot="1" x14ac:dyDescent="0.25">
      <c r="A35" s="278" t="str">
        <f t="shared" si="1"/>
        <v>CORONEL ALFONSO UGARTEJER-EIB8</v>
      </c>
      <c r="B35" s="208" t="s">
        <v>131</v>
      </c>
      <c r="C35" s="277" t="s">
        <v>478</v>
      </c>
      <c r="D35" s="2">
        <v>8</v>
      </c>
      <c r="E35" s="255" t="s">
        <v>296</v>
      </c>
    </row>
    <row r="36" spans="1:5" ht="15.75" customHeight="1" thickBot="1" x14ac:dyDescent="0.25">
      <c r="A36" s="278" t="str">
        <f t="shared" si="1"/>
        <v>CORONEL ALFONSO UGARTEJER-EIB9</v>
      </c>
      <c r="B36" s="208" t="s">
        <v>131</v>
      </c>
      <c r="C36" s="277" t="s">
        <v>478</v>
      </c>
      <c r="D36" s="2">
        <v>9</v>
      </c>
      <c r="E36" s="256" t="s">
        <v>297</v>
      </c>
    </row>
    <row r="37" spans="1:5" ht="15.75" customHeight="1" thickBot="1" x14ac:dyDescent="0.25">
      <c r="A37" s="278" t="str">
        <f t="shared" si="1"/>
        <v>CORONEL ALFONSO UGARTEJER-EIB10</v>
      </c>
      <c r="B37" s="208" t="s">
        <v>131</v>
      </c>
      <c r="C37" s="277" t="s">
        <v>478</v>
      </c>
      <c r="D37" s="2">
        <v>10</v>
      </c>
      <c r="E37" s="257" t="s">
        <v>298</v>
      </c>
    </row>
    <row r="38" spans="1:5" ht="15.75" customHeight="1" thickBot="1" x14ac:dyDescent="0.25">
      <c r="A38" s="278" t="str">
        <f t="shared" si="1"/>
        <v>CORONEL ALFONSO UGARTEJER-EIB11</v>
      </c>
      <c r="B38" s="208" t="s">
        <v>131</v>
      </c>
      <c r="C38" s="277" t="s">
        <v>478</v>
      </c>
      <c r="D38" s="2">
        <v>11</v>
      </c>
      <c r="E38" s="258" t="s">
        <v>152</v>
      </c>
    </row>
    <row r="39" spans="1:5" ht="15.75" customHeight="1" thickBot="1" x14ac:dyDescent="0.25">
      <c r="A39" s="278" t="str">
        <f t="shared" si="1"/>
        <v>CORONEL ALFONSO UGARTEJER-EIB12</v>
      </c>
      <c r="B39" s="208" t="s">
        <v>131</v>
      </c>
      <c r="C39" s="277" t="s">
        <v>478</v>
      </c>
      <c r="D39" s="2">
        <v>12</v>
      </c>
      <c r="E39" s="259" t="s">
        <v>299</v>
      </c>
    </row>
    <row r="40" spans="1:5" ht="16.5" thickBot="1" x14ac:dyDescent="0.25">
      <c r="A40" s="278" t="str">
        <f t="shared" si="1"/>
        <v>CORONEL ALFONSO UGARTEJER-EIB13</v>
      </c>
      <c r="B40" s="208" t="s">
        <v>131</v>
      </c>
      <c r="C40" s="277" t="s">
        <v>478</v>
      </c>
      <c r="D40" s="2">
        <v>13</v>
      </c>
      <c r="E40" s="172" t="s">
        <v>158</v>
      </c>
    </row>
    <row r="41" spans="1:5" ht="15.75" customHeight="1" thickBot="1" x14ac:dyDescent="0.25">
      <c r="A41" s="278" t="str">
        <f t="shared" si="1"/>
        <v>ESTATAL DE TOLAPALCAJER-EIB1</v>
      </c>
      <c r="B41" s="212" t="s">
        <v>126</v>
      </c>
      <c r="C41" s="277" t="s">
        <v>478</v>
      </c>
      <c r="D41" s="2">
        <v>1</v>
      </c>
      <c r="E41" s="249" t="s">
        <v>156</v>
      </c>
    </row>
    <row r="42" spans="1:5" ht="15.75" customHeight="1" thickBot="1" x14ac:dyDescent="0.25">
      <c r="A42" s="278" t="str">
        <f>B42&amp;C42&amp;D42</f>
        <v>ESTATAL DE TOLAPALCAJER-EIB2</v>
      </c>
      <c r="B42" s="212" t="s">
        <v>126</v>
      </c>
      <c r="C42" s="277" t="s">
        <v>478</v>
      </c>
      <c r="D42" s="2">
        <v>2</v>
      </c>
      <c r="E42" s="250" t="s">
        <v>344</v>
      </c>
    </row>
    <row r="43" spans="1:5" ht="15.75" customHeight="1" thickBot="1" x14ac:dyDescent="0.25">
      <c r="A43" s="278" t="str">
        <f t="shared" si="1"/>
        <v>ESTATAL DE TOLAPALCAJER-EIB3</v>
      </c>
      <c r="B43" s="212" t="s">
        <v>126</v>
      </c>
      <c r="C43" s="277" t="s">
        <v>478</v>
      </c>
      <c r="D43" s="2">
        <v>3</v>
      </c>
      <c r="E43" s="250" t="s">
        <v>347</v>
      </c>
    </row>
    <row r="44" spans="1:5" ht="15.75" customHeight="1" thickBot="1" x14ac:dyDescent="0.25">
      <c r="A44" s="278" t="str">
        <f t="shared" si="1"/>
        <v>ESTATAL DE TOLAPALCAJER-EIB4</v>
      </c>
      <c r="B44" s="212" t="s">
        <v>126</v>
      </c>
      <c r="C44" s="277" t="s">
        <v>478</v>
      </c>
      <c r="D44" s="2">
        <v>4</v>
      </c>
      <c r="E44" s="251" t="s">
        <v>157</v>
      </c>
    </row>
    <row r="45" spans="1:5" ht="15.75" customHeight="1" thickBot="1" x14ac:dyDescent="0.25">
      <c r="A45" s="278" t="str">
        <f t="shared" si="1"/>
        <v>ESTATAL DE TOLAPALCAJER-EIB5</v>
      </c>
      <c r="B45" s="212" t="s">
        <v>126</v>
      </c>
      <c r="C45" s="277" t="s">
        <v>478</v>
      </c>
      <c r="D45" s="2">
        <v>5</v>
      </c>
      <c r="E45" s="252" t="s">
        <v>293</v>
      </c>
    </row>
    <row r="46" spans="1:5" ht="15.75" customHeight="1" thickBot="1" x14ac:dyDescent="0.25">
      <c r="A46" s="278" t="str">
        <f t="shared" si="1"/>
        <v>ESTATAL DE TOLAPALCAJER-EIB6</v>
      </c>
      <c r="B46" s="212" t="s">
        <v>126</v>
      </c>
      <c r="C46" s="277" t="s">
        <v>478</v>
      </c>
      <c r="D46" s="2">
        <v>6</v>
      </c>
      <c r="E46" s="253" t="s">
        <v>294</v>
      </c>
    </row>
    <row r="47" spans="1:5" ht="15.75" customHeight="1" thickBot="1" x14ac:dyDescent="0.25">
      <c r="A47" s="278" t="str">
        <f t="shared" si="1"/>
        <v>ESTATAL DE TOLAPALCAJER-EIB7</v>
      </c>
      <c r="B47" s="212" t="s">
        <v>126</v>
      </c>
      <c r="C47" s="277" t="s">
        <v>478</v>
      </c>
      <c r="D47" s="2">
        <v>7</v>
      </c>
      <c r="E47" s="254" t="s">
        <v>295</v>
      </c>
    </row>
    <row r="48" spans="1:5" ht="15.75" customHeight="1" thickBot="1" x14ac:dyDescent="0.25">
      <c r="A48" s="278" t="str">
        <f t="shared" si="1"/>
        <v>ESTATAL DE TOLAPALCAJER-EIB8</v>
      </c>
      <c r="B48" s="212" t="s">
        <v>126</v>
      </c>
      <c r="C48" s="277" t="s">
        <v>478</v>
      </c>
      <c r="D48" s="2">
        <v>8</v>
      </c>
      <c r="E48" s="255" t="s">
        <v>296</v>
      </c>
    </row>
    <row r="49" spans="1:5" ht="15.75" customHeight="1" thickBot="1" x14ac:dyDescent="0.25">
      <c r="A49" s="278" t="str">
        <f t="shared" si="1"/>
        <v>ESTATAL DE TOLAPALCAJER-EIB9</v>
      </c>
      <c r="B49" s="212" t="s">
        <v>126</v>
      </c>
      <c r="C49" s="277" t="s">
        <v>478</v>
      </c>
      <c r="D49" s="2">
        <v>9</v>
      </c>
      <c r="E49" s="256" t="s">
        <v>297</v>
      </c>
    </row>
    <row r="50" spans="1:5" ht="15.75" customHeight="1" thickBot="1" x14ac:dyDescent="0.25">
      <c r="A50" s="278" t="str">
        <f t="shared" si="1"/>
        <v>ESTATAL DE TOLAPALCAJER-EIB10</v>
      </c>
      <c r="B50" s="212" t="s">
        <v>126</v>
      </c>
      <c r="C50" s="277" t="s">
        <v>478</v>
      </c>
      <c r="D50" s="2">
        <v>10</v>
      </c>
      <c r="E50" s="257" t="s">
        <v>298</v>
      </c>
    </row>
    <row r="51" spans="1:5" ht="15.75" customHeight="1" thickBot="1" x14ac:dyDescent="0.25">
      <c r="A51" s="278" t="str">
        <f t="shared" si="1"/>
        <v>ESTATAL DE TOLAPALCAJER-EIB11</v>
      </c>
      <c r="B51" s="212" t="s">
        <v>126</v>
      </c>
      <c r="C51" s="277" t="s">
        <v>478</v>
      </c>
      <c r="D51" s="2">
        <v>11</v>
      </c>
      <c r="E51" s="258" t="s">
        <v>152</v>
      </c>
    </row>
    <row r="52" spans="1:5" ht="15.75" customHeight="1" thickBot="1" x14ac:dyDescent="0.25">
      <c r="A52" s="278" t="str">
        <f t="shared" si="1"/>
        <v>ESTATAL DE TOLAPALCAJER-EIB12</v>
      </c>
      <c r="B52" s="212" t="s">
        <v>126</v>
      </c>
      <c r="C52" s="277" t="s">
        <v>478</v>
      </c>
      <c r="D52" s="2">
        <v>12</v>
      </c>
      <c r="E52" s="259" t="s">
        <v>299</v>
      </c>
    </row>
    <row r="53" spans="1:5" ht="16.5" thickBot="1" x14ac:dyDescent="0.25">
      <c r="A53" s="278" t="str">
        <f t="shared" si="1"/>
        <v>ESTATAL DE TOLAPALCAJER-EIB13</v>
      </c>
      <c r="B53" s="212" t="s">
        <v>126</v>
      </c>
      <c r="C53" s="277" t="s">
        <v>478</v>
      </c>
      <c r="D53" s="2">
        <v>13</v>
      </c>
      <c r="E53" s="172" t="s">
        <v>158</v>
      </c>
    </row>
    <row r="54" spans="1:5" ht="15.75" customHeight="1" thickBot="1" x14ac:dyDescent="0.25">
      <c r="A54" s="278" t="str">
        <f t="shared" si="1"/>
        <v>FERNANDO BELAUNDE TERRYJER-EIB1</v>
      </c>
      <c r="B54" s="214" t="s">
        <v>125</v>
      </c>
      <c r="C54" s="277" t="s">
        <v>478</v>
      </c>
      <c r="D54" s="2">
        <v>1</v>
      </c>
      <c r="E54" s="249" t="s">
        <v>156</v>
      </c>
    </row>
    <row r="55" spans="1:5" ht="15.75" customHeight="1" thickBot="1" x14ac:dyDescent="0.25">
      <c r="A55" s="278" t="str">
        <f>B55&amp;C55&amp;D55</f>
        <v>FERNANDO BELAUNDE TERRYJER-EIB2</v>
      </c>
      <c r="B55" s="214" t="s">
        <v>125</v>
      </c>
      <c r="C55" s="277" t="s">
        <v>478</v>
      </c>
      <c r="D55" s="2">
        <v>2</v>
      </c>
      <c r="E55" s="250" t="s">
        <v>342</v>
      </c>
    </row>
    <row r="56" spans="1:5" ht="15.75" customHeight="1" thickBot="1" x14ac:dyDescent="0.25">
      <c r="A56" s="278" t="str">
        <f t="shared" si="1"/>
        <v>FERNANDO BELAUNDE TERRYJER-EIB3</v>
      </c>
      <c r="B56" s="214" t="s">
        <v>125</v>
      </c>
      <c r="C56" s="277" t="s">
        <v>478</v>
      </c>
      <c r="D56" s="2">
        <v>3</v>
      </c>
      <c r="E56" s="250" t="s">
        <v>343</v>
      </c>
    </row>
    <row r="57" spans="1:5" ht="15.75" customHeight="1" thickBot="1" x14ac:dyDescent="0.25">
      <c r="A57" s="278" t="str">
        <f t="shared" si="1"/>
        <v>FERNANDO BELAUNDE TERRYJER-EIB4</v>
      </c>
      <c r="B57" s="214" t="s">
        <v>125</v>
      </c>
      <c r="C57" s="277" t="s">
        <v>478</v>
      </c>
      <c r="D57" s="2">
        <v>4</v>
      </c>
      <c r="E57" s="251" t="s">
        <v>157</v>
      </c>
    </row>
    <row r="58" spans="1:5" ht="15.75" customHeight="1" thickBot="1" x14ac:dyDescent="0.25">
      <c r="A58" s="278" t="str">
        <f t="shared" si="1"/>
        <v>FERNANDO BELAUNDE TERRYJER-EIB5</v>
      </c>
      <c r="B58" s="214" t="s">
        <v>125</v>
      </c>
      <c r="C58" s="277" t="s">
        <v>478</v>
      </c>
      <c r="D58" s="2">
        <v>5</v>
      </c>
      <c r="E58" s="252" t="s">
        <v>293</v>
      </c>
    </row>
    <row r="59" spans="1:5" ht="15.75" customHeight="1" thickBot="1" x14ac:dyDescent="0.25">
      <c r="A59" s="278" t="str">
        <f t="shared" si="1"/>
        <v>FERNANDO BELAUNDE TERRYJER-EIB6</v>
      </c>
      <c r="B59" s="214" t="s">
        <v>125</v>
      </c>
      <c r="C59" s="277" t="s">
        <v>478</v>
      </c>
      <c r="D59" s="2">
        <v>6</v>
      </c>
      <c r="E59" s="253" t="s">
        <v>294</v>
      </c>
    </row>
    <row r="60" spans="1:5" ht="15.75" customHeight="1" thickBot="1" x14ac:dyDescent="0.25">
      <c r="A60" s="278" t="str">
        <f t="shared" si="1"/>
        <v>FERNANDO BELAUNDE TERRYJER-EIB7</v>
      </c>
      <c r="B60" s="214" t="s">
        <v>125</v>
      </c>
      <c r="C60" s="277" t="s">
        <v>478</v>
      </c>
      <c r="D60" s="2">
        <v>7</v>
      </c>
      <c r="E60" s="254" t="s">
        <v>295</v>
      </c>
    </row>
    <row r="61" spans="1:5" ht="15.75" customHeight="1" thickBot="1" x14ac:dyDescent="0.25">
      <c r="A61" s="278" t="str">
        <f t="shared" si="1"/>
        <v>FERNANDO BELAUNDE TERRYJER-EIB8</v>
      </c>
      <c r="B61" s="214" t="s">
        <v>125</v>
      </c>
      <c r="C61" s="277" t="s">
        <v>478</v>
      </c>
      <c r="D61" s="2">
        <v>8</v>
      </c>
      <c r="E61" s="255" t="s">
        <v>296</v>
      </c>
    </row>
    <row r="62" spans="1:5" ht="15.75" customHeight="1" thickBot="1" x14ac:dyDescent="0.25">
      <c r="A62" s="278" t="str">
        <f t="shared" si="1"/>
        <v>FERNANDO BELAUNDE TERRYJER-EIB9</v>
      </c>
      <c r="B62" s="214" t="s">
        <v>125</v>
      </c>
      <c r="C62" s="277" t="s">
        <v>478</v>
      </c>
      <c r="D62" s="2">
        <v>9</v>
      </c>
      <c r="E62" s="256" t="s">
        <v>297</v>
      </c>
    </row>
    <row r="63" spans="1:5" ht="15.75" customHeight="1" thickBot="1" x14ac:dyDescent="0.25">
      <c r="A63" s="278" t="str">
        <f t="shared" si="1"/>
        <v>FERNANDO BELAUNDE TERRYJER-EIB10</v>
      </c>
      <c r="B63" s="214" t="s">
        <v>125</v>
      </c>
      <c r="C63" s="277" t="s">
        <v>478</v>
      </c>
      <c r="D63" s="2">
        <v>10</v>
      </c>
      <c r="E63" s="257" t="s">
        <v>298</v>
      </c>
    </row>
    <row r="64" spans="1:5" ht="15.75" customHeight="1" thickBot="1" x14ac:dyDescent="0.25">
      <c r="A64" s="278" t="str">
        <f t="shared" si="1"/>
        <v>FERNANDO BELAUNDE TERRYJER-EIB11</v>
      </c>
      <c r="B64" s="214" t="s">
        <v>125</v>
      </c>
      <c r="C64" s="277" t="s">
        <v>478</v>
      </c>
      <c r="D64" s="2">
        <v>11</v>
      </c>
      <c r="E64" s="258" t="s">
        <v>152</v>
      </c>
    </row>
    <row r="65" spans="1:5" ht="15.75" customHeight="1" thickBot="1" x14ac:dyDescent="0.25">
      <c r="A65" s="278" t="str">
        <f t="shared" si="1"/>
        <v>FERNANDO BELAUNDE TERRYJER-EIB12</v>
      </c>
      <c r="B65" s="214" t="s">
        <v>125</v>
      </c>
      <c r="C65" s="277" t="s">
        <v>478</v>
      </c>
      <c r="D65" s="2">
        <v>12</v>
      </c>
      <c r="E65" s="259" t="s">
        <v>299</v>
      </c>
    </row>
    <row r="66" spans="1:5" ht="16.5" thickBot="1" x14ac:dyDescent="0.25">
      <c r="A66" s="278" t="str">
        <f t="shared" si="1"/>
        <v>FERNANDO BELAUNDE TERRYJER-EIB13</v>
      </c>
      <c r="B66" s="214" t="s">
        <v>125</v>
      </c>
      <c r="C66" s="277" t="s">
        <v>478</v>
      </c>
      <c r="D66" s="2">
        <v>13</v>
      </c>
      <c r="E66" s="172" t="s">
        <v>158</v>
      </c>
    </row>
    <row r="67" spans="1:5" ht="15.75" customHeight="1" thickBot="1" x14ac:dyDescent="0.25">
      <c r="A67" s="278" t="str">
        <f t="shared" ref="A67:A79" si="2">B67&amp;C67&amp;D67</f>
        <v>MARISCAL RAMON CASTILLAJEC1</v>
      </c>
      <c r="B67" s="219" t="s">
        <v>127</v>
      </c>
      <c r="C67" s="277" t="s">
        <v>234</v>
      </c>
      <c r="D67" s="2">
        <v>1</v>
      </c>
      <c r="E67" s="249" t="s">
        <v>156</v>
      </c>
    </row>
    <row r="68" spans="1:5" ht="15.75" customHeight="1" thickBot="1" x14ac:dyDescent="0.25">
      <c r="A68" s="278" t="str">
        <f>B68&amp;C68&amp;D68</f>
        <v>MARISCAL RAMON CASTILLAJEC2</v>
      </c>
      <c r="B68" s="219" t="s">
        <v>127</v>
      </c>
      <c r="C68" s="277" t="s">
        <v>234</v>
      </c>
      <c r="D68" s="2">
        <v>2</v>
      </c>
      <c r="E68" s="250" t="s">
        <v>344</v>
      </c>
    </row>
    <row r="69" spans="1:5" ht="15.75" customHeight="1" thickBot="1" x14ac:dyDescent="0.25">
      <c r="A69" s="278" t="str">
        <f t="shared" si="2"/>
        <v>MARISCAL RAMON CASTILLAJEC3</v>
      </c>
      <c r="B69" s="219" t="s">
        <v>127</v>
      </c>
      <c r="C69" s="277" t="s">
        <v>234</v>
      </c>
      <c r="D69" s="2">
        <v>3</v>
      </c>
      <c r="E69" s="250" t="s">
        <v>347</v>
      </c>
    </row>
    <row r="70" spans="1:5" ht="15.75" customHeight="1" thickBot="1" x14ac:dyDescent="0.25">
      <c r="A70" s="278" t="str">
        <f t="shared" si="2"/>
        <v>MARISCAL RAMON CASTILLAJEC4</v>
      </c>
      <c r="B70" s="219" t="s">
        <v>127</v>
      </c>
      <c r="C70" s="277" t="s">
        <v>234</v>
      </c>
      <c r="D70" s="2">
        <v>4</v>
      </c>
      <c r="E70" s="251" t="s">
        <v>157</v>
      </c>
    </row>
    <row r="71" spans="1:5" ht="15.75" customHeight="1" thickBot="1" x14ac:dyDescent="0.25">
      <c r="A71" s="278" t="str">
        <f t="shared" si="2"/>
        <v>MARISCAL RAMON CASTILLAJEC5</v>
      </c>
      <c r="B71" s="219" t="s">
        <v>127</v>
      </c>
      <c r="C71" s="277" t="s">
        <v>234</v>
      </c>
      <c r="D71" s="2">
        <v>5</v>
      </c>
      <c r="E71" s="252" t="s">
        <v>293</v>
      </c>
    </row>
    <row r="72" spans="1:5" ht="15.75" customHeight="1" thickBot="1" x14ac:dyDescent="0.25">
      <c r="A72" s="278" t="str">
        <f t="shared" si="2"/>
        <v>MARISCAL RAMON CASTILLAJEC6</v>
      </c>
      <c r="B72" s="219" t="s">
        <v>127</v>
      </c>
      <c r="C72" s="277" t="s">
        <v>234</v>
      </c>
      <c r="D72" s="2">
        <v>6</v>
      </c>
      <c r="E72" s="253" t="s">
        <v>294</v>
      </c>
    </row>
    <row r="73" spans="1:5" ht="15.75" customHeight="1" thickBot="1" x14ac:dyDescent="0.25">
      <c r="A73" s="278" t="str">
        <f t="shared" si="2"/>
        <v>MARISCAL RAMON CASTILLAJEC7</v>
      </c>
      <c r="B73" s="219" t="s">
        <v>127</v>
      </c>
      <c r="C73" s="277" t="s">
        <v>234</v>
      </c>
      <c r="D73" s="2">
        <v>7</v>
      </c>
      <c r="E73" s="254" t="s">
        <v>295</v>
      </c>
    </row>
    <row r="74" spans="1:5" ht="15.75" customHeight="1" thickBot="1" x14ac:dyDescent="0.25">
      <c r="A74" s="278" t="str">
        <f t="shared" si="2"/>
        <v>MARISCAL RAMON CASTILLAJEC8</v>
      </c>
      <c r="B74" s="219" t="s">
        <v>127</v>
      </c>
      <c r="C74" s="277" t="s">
        <v>234</v>
      </c>
      <c r="D74" s="2">
        <v>8</v>
      </c>
      <c r="E74" s="255" t="s">
        <v>296</v>
      </c>
    </row>
    <row r="75" spans="1:5" ht="15.75" customHeight="1" thickBot="1" x14ac:dyDescent="0.25">
      <c r="A75" s="278" t="str">
        <f t="shared" si="2"/>
        <v>MARISCAL RAMON CASTILLAJEC9</v>
      </c>
      <c r="B75" s="219" t="s">
        <v>127</v>
      </c>
      <c r="C75" s="277" t="s">
        <v>234</v>
      </c>
      <c r="D75" s="2">
        <v>9</v>
      </c>
      <c r="E75" s="256" t="s">
        <v>297</v>
      </c>
    </row>
    <row r="76" spans="1:5" ht="15.75" customHeight="1" thickBot="1" x14ac:dyDescent="0.25">
      <c r="A76" s="278" t="str">
        <f t="shared" si="2"/>
        <v>MARISCAL RAMON CASTILLAJEC10</v>
      </c>
      <c r="B76" s="219" t="s">
        <v>127</v>
      </c>
      <c r="C76" s="277" t="s">
        <v>234</v>
      </c>
      <c r="D76" s="2">
        <v>10</v>
      </c>
      <c r="E76" s="257" t="s">
        <v>298</v>
      </c>
    </row>
    <row r="77" spans="1:5" ht="15.75" customHeight="1" thickBot="1" x14ac:dyDescent="0.25">
      <c r="A77" s="278" t="str">
        <f t="shared" si="2"/>
        <v>MARISCAL RAMON CASTILLAJEC11</v>
      </c>
      <c r="B77" s="219" t="s">
        <v>127</v>
      </c>
      <c r="C77" s="277" t="s">
        <v>234</v>
      </c>
      <c r="D77" s="2">
        <v>11</v>
      </c>
      <c r="E77" s="258" t="s">
        <v>152</v>
      </c>
    </row>
    <row r="78" spans="1:5" ht="15.75" customHeight="1" thickBot="1" x14ac:dyDescent="0.25">
      <c r="A78" s="278" t="str">
        <f t="shared" si="2"/>
        <v>MARISCAL RAMON CASTILLAJEC12</v>
      </c>
      <c r="B78" s="219" t="s">
        <v>127</v>
      </c>
      <c r="C78" s="277" t="s">
        <v>234</v>
      </c>
      <c r="D78" s="2">
        <v>12</v>
      </c>
      <c r="E78" s="259" t="s">
        <v>299</v>
      </c>
    </row>
    <row r="79" spans="1:5" ht="16.5" thickBot="1" x14ac:dyDescent="0.25">
      <c r="A79" s="278" t="str">
        <f t="shared" si="2"/>
        <v>MARISCAL RAMON CASTILLAJEC13</v>
      </c>
      <c r="B79" s="219" t="s">
        <v>127</v>
      </c>
      <c r="C79" s="277" t="s">
        <v>234</v>
      </c>
      <c r="D79" s="2">
        <v>13</v>
      </c>
      <c r="E79" s="172" t="s">
        <v>158</v>
      </c>
    </row>
    <row r="80" spans="1:5" ht="15.75" customHeight="1" thickBot="1" x14ac:dyDescent="0.25">
      <c r="A80" s="278" t="str">
        <f t="shared" ref="A80:A104" si="3">B80&amp;C80&amp;D80</f>
        <v>TECNICO AGROPECUARIO CESAR VIZCARRA VARGASJER-EIB1</v>
      </c>
      <c r="B80" s="224" t="s">
        <v>128</v>
      </c>
      <c r="C80" s="277" t="s">
        <v>478</v>
      </c>
      <c r="D80" s="2">
        <v>1</v>
      </c>
      <c r="E80" s="249" t="s">
        <v>156</v>
      </c>
    </row>
    <row r="81" spans="1:5" ht="15.75" customHeight="1" thickBot="1" x14ac:dyDescent="0.25">
      <c r="A81" s="278" t="str">
        <f>B81&amp;C81&amp;D81</f>
        <v>TECNICO AGROPECUARIO CESAR VIZCARRA VARGASJER-EIB2</v>
      </c>
      <c r="B81" s="224" t="s">
        <v>128</v>
      </c>
      <c r="C81" s="277" t="s">
        <v>478</v>
      </c>
      <c r="D81" s="2">
        <v>2</v>
      </c>
      <c r="E81" s="250" t="s">
        <v>342</v>
      </c>
    </row>
    <row r="82" spans="1:5" ht="15.75" customHeight="1" thickBot="1" x14ac:dyDescent="0.25">
      <c r="A82" s="278" t="str">
        <f t="shared" si="3"/>
        <v>TECNICO AGROPECUARIO CESAR VIZCARRA VARGASJER-EIB3</v>
      </c>
      <c r="B82" s="224" t="s">
        <v>128</v>
      </c>
      <c r="C82" s="277" t="s">
        <v>478</v>
      </c>
      <c r="D82" s="2">
        <v>3</v>
      </c>
      <c r="E82" s="250" t="s">
        <v>343</v>
      </c>
    </row>
    <row r="83" spans="1:5" ht="15.75" customHeight="1" thickBot="1" x14ac:dyDescent="0.25">
      <c r="A83" s="278" t="str">
        <f t="shared" si="3"/>
        <v>TECNICO AGROPECUARIO CESAR VIZCARRA VARGASJER-EIB4</v>
      </c>
      <c r="B83" s="224" t="s">
        <v>128</v>
      </c>
      <c r="C83" s="277" t="s">
        <v>478</v>
      </c>
      <c r="D83" s="2">
        <v>4</v>
      </c>
      <c r="E83" s="251" t="s">
        <v>157</v>
      </c>
    </row>
    <row r="84" spans="1:5" ht="15.75" customHeight="1" thickBot="1" x14ac:dyDescent="0.25">
      <c r="A84" s="278" t="str">
        <f t="shared" si="3"/>
        <v>TECNICO AGROPECUARIO CESAR VIZCARRA VARGASJER-EIB5</v>
      </c>
      <c r="B84" s="224" t="s">
        <v>128</v>
      </c>
      <c r="C84" s="277" t="s">
        <v>478</v>
      </c>
      <c r="D84" s="2">
        <v>5</v>
      </c>
      <c r="E84" s="252" t="s">
        <v>293</v>
      </c>
    </row>
    <row r="85" spans="1:5" ht="15.75" customHeight="1" thickBot="1" x14ac:dyDescent="0.25">
      <c r="A85" s="278" t="str">
        <f t="shared" si="3"/>
        <v>TECNICO AGROPECUARIO CESAR VIZCARRA VARGASJER-EIB6</v>
      </c>
      <c r="B85" s="224" t="s">
        <v>128</v>
      </c>
      <c r="C85" s="277" t="s">
        <v>478</v>
      </c>
      <c r="D85" s="2">
        <v>6</v>
      </c>
      <c r="E85" s="253" t="s">
        <v>294</v>
      </c>
    </row>
    <row r="86" spans="1:5" ht="15.75" customHeight="1" thickBot="1" x14ac:dyDescent="0.25">
      <c r="A86" s="278" t="str">
        <f t="shared" si="3"/>
        <v>TECNICO AGROPECUARIO CESAR VIZCARRA VARGASJER-EIB7</v>
      </c>
      <c r="B86" s="224" t="s">
        <v>128</v>
      </c>
      <c r="C86" s="277" t="s">
        <v>478</v>
      </c>
      <c r="D86" s="2">
        <v>7</v>
      </c>
      <c r="E86" s="254" t="s">
        <v>295</v>
      </c>
    </row>
    <row r="87" spans="1:5" ht="15.75" customHeight="1" thickBot="1" x14ac:dyDescent="0.25">
      <c r="A87" s="278" t="str">
        <f t="shared" si="3"/>
        <v>TECNICO AGROPECUARIO CESAR VIZCARRA VARGASJER-EIB8</v>
      </c>
      <c r="B87" s="224" t="s">
        <v>128</v>
      </c>
      <c r="C87" s="277" t="s">
        <v>478</v>
      </c>
      <c r="D87" s="2">
        <v>8</v>
      </c>
      <c r="E87" s="255" t="s">
        <v>296</v>
      </c>
    </row>
    <row r="88" spans="1:5" ht="15.75" customHeight="1" thickBot="1" x14ac:dyDescent="0.25">
      <c r="A88" s="278" t="str">
        <f t="shared" si="3"/>
        <v>TECNICO AGROPECUARIO CESAR VIZCARRA VARGASJER-EIB9</v>
      </c>
      <c r="B88" s="224" t="s">
        <v>128</v>
      </c>
      <c r="C88" s="277" t="s">
        <v>478</v>
      </c>
      <c r="D88" s="2">
        <v>9</v>
      </c>
      <c r="E88" s="256" t="s">
        <v>297</v>
      </c>
    </row>
    <row r="89" spans="1:5" ht="15.75" customHeight="1" thickBot="1" x14ac:dyDescent="0.25">
      <c r="A89" s="278" t="str">
        <f t="shared" si="3"/>
        <v>TECNICO AGROPECUARIO CESAR VIZCARRA VARGASJER-EIB10</v>
      </c>
      <c r="B89" s="224" t="s">
        <v>128</v>
      </c>
      <c r="C89" s="277" t="s">
        <v>478</v>
      </c>
      <c r="D89" s="2">
        <v>10</v>
      </c>
      <c r="E89" s="257" t="s">
        <v>298</v>
      </c>
    </row>
    <row r="90" spans="1:5" ht="15.75" customHeight="1" thickBot="1" x14ac:dyDescent="0.25">
      <c r="A90" s="278" t="str">
        <f t="shared" si="3"/>
        <v>TECNICO AGROPECUARIO CESAR VIZCARRA VARGASJER-EIB11</v>
      </c>
      <c r="B90" s="224" t="s">
        <v>128</v>
      </c>
      <c r="C90" s="277" t="s">
        <v>478</v>
      </c>
      <c r="D90" s="2">
        <v>11</v>
      </c>
      <c r="E90" s="258" t="s">
        <v>152</v>
      </c>
    </row>
    <row r="91" spans="1:5" ht="15.75" customHeight="1" thickBot="1" x14ac:dyDescent="0.25">
      <c r="A91" s="278" t="str">
        <f t="shared" si="3"/>
        <v>TECNICO AGROPECUARIO CESAR VIZCARRA VARGASJER-EIB12</v>
      </c>
      <c r="B91" s="224" t="s">
        <v>128</v>
      </c>
      <c r="C91" s="277" t="s">
        <v>478</v>
      </c>
      <c r="D91" s="2">
        <v>12</v>
      </c>
      <c r="E91" s="259" t="s">
        <v>299</v>
      </c>
    </row>
    <row r="92" spans="1:5" ht="32.25" thickBot="1" x14ac:dyDescent="0.25">
      <c r="A92" s="278" t="str">
        <f t="shared" si="3"/>
        <v>TECNICO AGROPECUARIO CESAR VIZCARRA VARGASJER-EIB13</v>
      </c>
      <c r="B92" s="224" t="s">
        <v>128</v>
      </c>
      <c r="C92" s="277" t="s">
        <v>478</v>
      </c>
      <c r="D92" s="2">
        <v>13</v>
      </c>
      <c r="E92" s="172" t="s">
        <v>158</v>
      </c>
    </row>
    <row r="93" spans="1:5" ht="15.75" customHeight="1" thickBot="1" x14ac:dyDescent="0.25">
      <c r="A93" s="278" t="str">
        <f t="shared" si="3"/>
        <v>TECNICO AGROPECUARIO CHARAMAYAJER1</v>
      </c>
      <c r="B93" s="221" t="s">
        <v>132</v>
      </c>
      <c r="C93" s="277" t="s">
        <v>175</v>
      </c>
      <c r="D93" s="2">
        <v>1</v>
      </c>
      <c r="E93" s="249" t="s">
        <v>156</v>
      </c>
    </row>
    <row r="94" spans="1:5" ht="15.75" customHeight="1" thickBot="1" x14ac:dyDescent="0.25">
      <c r="A94" s="278" t="str">
        <f t="shared" si="3"/>
        <v>TECNICO AGROPECUARIO CHARAMAYAJER2</v>
      </c>
      <c r="B94" s="221" t="s">
        <v>132</v>
      </c>
      <c r="C94" s="277" t="s">
        <v>175</v>
      </c>
      <c r="D94" s="2">
        <v>2</v>
      </c>
      <c r="E94" s="250" t="s">
        <v>292</v>
      </c>
    </row>
    <row r="95" spans="1:5" ht="15.75" customHeight="1" thickBot="1" x14ac:dyDescent="0.25">
      <c r="A95" s="278" t="str">
        <f t="shared" si="3"/>
        <v>TECNICO AGROPECUARIO CHARAMAYAJER3</v>
      </c>
      <c r="B95" s="221" t="s">
        <v>132</v>
      </c>
      <c r="C95" s="277" t="s">
        <v>175</v>
      </c>
      <c r="D95" s="2">
        <v>3</v>
      </c>
      <c r="E95" s="251" t="s">
        <v>157</v>
      </c>
    </row>
    <row r="96" spans="1:5" ht="15.75" customHeight="1" thickBot="1" x14ac:dyDescent="0.25">
      <c r="A96" s="278" t="str">
        <f t="shared" si="3"/>
        <v>TECNICO AGROPECUARIO CHARAMAYAJER4</v>
      </c>
      <c r="B96" s="221" t="s">
        <v>132</v>
      </c>
      <c r="C96" s="277" t="s">
        <v>175</v>
      </c>
      <c r="D96" s="2">
        <v>4</v>
      </c>
      <c r="E96" s="252" t="s">
        <v>293</v>
      </c>
    </row>
    <row r="97" spans="1:5" ht="15.75" customHeight="1" thickBot="1" x14ac:dyDescent="0.25">
      <c r="A97" s="278" t="str">
        <f t="shared" si="3"/>
        <v>TECNICO AGROPECUARIO CHARAMAYAJER5</v>
      </c>
      <c r="B97" s="221" t="s">
        <v>132</v>
      </c>
      <c r="C97" s="277" t="s">
        <v>175</v>
      </c>
      <c r="D97" s="2">
        <v>5</v>
      </c>
      <c r="E97" s="253" t="s">
        <v>294</v>
      </c>
    </row>
    <row r="98" spans="1:5" ht="15.75" customHeight="1" thickBot="1" x14ac:dyDescent="0.25">
      <c r="A98" s="278" t="str">
        <f t="shared" si="3"/>
        <v>TECNICO AGROPECUARIO CHARAMAYAJER6</v>
      </c>
      <c r="B98" s="221" t="s">
        <v>132</v>
      </c>
      <c r="C98" s="277" t="s">
        <v>175</v>
      </c>
      <c r="D98" s="2">
        <v>6</v>
      </c>
      <c r="E98" s="254" t="s">
        <v>295</v>
      </c>
    </row>
    <row r="99" spans="1:5" ht="15.75" customHeight="1" thickBot="1" x14ac:dyDescent="0.25">
      <c r="A99" s="278" t="str">
        <f t="shared" si="3"/>
        <v>TECNICO AGROPECUARIO CHARAMAYAJER7</v>
      </c>
      <c r="B99" s="221" t="s">
        <v>132</v>
      </c>
      <c r="C99" s="277" t="s">
        <v>175</v>
      </c>
      <c r="D99" s="2">
        <v>7</v>
      </c>
      <c r="E99" s="255" t="s">
        <v>296</v>
      </c>
    </row>
    <row r="100" spans="1:5" ht="15.75" customHeight="1" thickBot="1" x14ac:dyDescent="0.25">
      <c r="A100" s="278" t="str">
        <f t="shared" si="3"/>
        <v>TECNICO AGROPECUARIO CHARAMAYAJER8</v>
      </c>
      <c r="B100" s="221" t="s">
        <v>132</v>
      </c>
      <c r="C100" s="277" t="s">
        <v>175</v>
      </c>
      <c r="D100" s="2">
        <v>8</v>
      </c>
      <c r="E100" s="256" t="s">
        <v>297</v>
      </c>
    </row>
    <row r="101" spans="1:5" ht="15.75" customHeight="1" thickBot="1" x14ac:dyDescent="0.25">
      <c r="A101" s="278" t="str">
        <f t="shared" si="3"/>
        <v>TECNICO AGROPECUARIO CHARAMAYAJER9</v>
      </c>
      <c r="B101" s="221" t="s">
        <v>132</v>
      </c>
      <c r="C101" s="277" t="s">
        <v>175</v>
      </c>
      <c r="D101" s="2">
        <v>9</v>
      </c>
      <c r="E101" s="257" t="s">
        <v>298</v>
      </c>
    </row>
    <row r="102" spans="1:5" ht="15.75" customHeight="1" thickBot="1" x14ac:dyDescent="0.25">
      <c r="A102" s="278" t="str">
        <f t="shared" si="3"/>
        <v>TECNICO AGROPECUARIO CHARAMAYAJER10</v>
      </c>
      <c r="B102" s="221" t="s">
        <v>132</v>
      </c>
      <c r="C102" s="277" t="s">
        <v>175</v>
      </c>
      <c r="D102" s="2">
        <v>10</v>
      </c>
      <c r="E102" s="258" t="s">
        <v>152</v>
      </c>
    </row>
    <row r="103" spans="1:5" ht="15.75" customHeight="1" thickBot="1" x14ac:dyDescent="0.25">
      <c r="A103" s="278" t="str">
        <f t="shared" si="3"/>
        <v>TECNICO AGROPECUARIO CHARAMAYAJER11</v>
      </c>
      <c r="B103" s="221" t="s">
        <v>132</v>
      </c>
      <c r="C103" s="277" t="s">
        <v>175</v>
      </c>
      <c r="D103" s="2">
        <v>11</v>
      </c>
      <c r="E103" s="259" t="s">
        <v>299</v>
      </c>
    </row>
    <row r="104" spans="1:5" ht="16.5" thickBot="1" x14ac:dyDescent="0.25">
      <c r="A104" s="278" t="str">
        <f t="shared" si="3"/>
        <v>TECNICO AGROPECUARIO CHARAMAYAJER12</v>
      </c>
      <c r="B104" s="221" t="s">
        <v>132</v>
      </c>
      <c r="C104" s="277" t="s">
        <v>175</v>
      </c>
      <c r="D104" s="2">
        <v>12</v>
      </c>
      <c r="E104" s="172" t="s">
        <v>158</v>
      </c>
    </row>
    <row r="105" spans="1:5" ht="15.75" customHeight="1" thickBot="1" x14ac:dyDescent="0.25">
      <c r="A105" s="278" t="str">
        <f t="shared" ref="A105:A121" si="4">B105&amp;C105&amp;D105</f>
        <v>CEBA - CORAZON DE MARIAEBA1</v>
      </c>
      <c r="B105" s="189" t="s">
        <v>134</v>
      </c>
      <c r="C105" s="277" t="s">
        <v>221</v>
      </c>
      <c r="D105" s="2">
        <v>1</v>
      </c>
      <c r="E105" s="260" t="s">
        <v>156</v>
      </c>
    </row>
    <row r="106" spans="1:5" ht="15.75" customHeight="1" thickBot="1" x14ac:dyDescent="0.25">
      <c r="A106" s="278" t="str">
        <f t="shared" si="4"/>
        <v>CEBA - CORAZON DE MARIAEBA2</v>
      </c>
      <c r="B106" s="189" t="s">
        <v>134</v>
      </c>
      <c r="C106" s="277" t="s">
        <v>221</v>
      </c>
      <c r="D106" s="2">
        <v>2</v>
      </c>
      <c r="E106" s="261" t="s">
        <v>292</v>
      </c>
    </row>
    <row r="107" spans="1:5" ht="15.75" customHeight="1" thickBot="1" x14ac:dyDescent="0.25">
      <c r="A107" s="278" t="str">
        <f t="shared" si="4"/>
        <v>CEBA - CORAZON DE MARIAEBA3</v>
      </c>
      <c r="B107" s="189" t="s">
        <v>134</v>
      </c>
      <c r="C107" s="277" t="s">
        <v>221</v>
      </c>
      <c r="D107" s="2">
        <v>3</v>
      </c>
      <c r="E107" s="262" t="s">
        <v>300</v>
      </c>
    </row>
    <row r="108" spans="1:5" ht="15.75" customHeight="1" thickBot="1" x14ac:dyDescent="0.25">
      <c r="A108" s="278" t="str">
        <f t="shared" si="4"/>
        <v>CEBA - CORAZON DE MARIAEBA4</v>
      </c>
      <c r="B108" s="189" t="s">
        <v>134</v>
      </c>
      <c r="C108" s="277" t="s">
        <v>221</v>
      </c>
      <c r="D108" s="2">
        <v>4</v>
      </c>
      <c r="E108" s="262" t="s">
        <v>301</v>
      </c>
    </row>
    <row r="109" spans="1:5" ht="15.75" customHeight="1" thickBot="1" x14ac:dyDescent="0.25">
      <c r="A109" s="278" t="str">
        <f t="shared" si="4"/>
        <v>CEBA - CORAZON DE MARIAEBA5</v>
      </c>
      <c r="B109" s="189" t="s">
        <v>134</v>
      </c>
      <c r="C109" s="277" t="s">
        <v>221</v>
      </c>
      <c r="D109" s="2">
        <v>5</v>
      </c>
      <c r="E109" s="263" t="s">
        <v>152</v>
      </c>
    </row>
    <row r="110" spans="1:5" ht="15.75" customHeight="1" thickBot="1" x14ac:dyDescent="0.25">
      <c r="A110" s="278" t="str">
        <f t="shared" si="4"/>
        <v>CEBA - CORAZON DE MARIAEBA6</v>
      </c>
      <c r="B110" s="189" t="s">
        <v>134</v>
      </c>
      <c r="C110" s="277" t="s">
        <v>221</v>
      </c>
      <c r="D110" s="2">
        <v>6</v>
      </c>
      <c r="E110" s="264" t="s">
        <v>157</v>
      </c>
    </row>
    <row r="111" spans="1:5" ht="15.75" customHeight="1" thickBot="1" x14ac:dyDescent="0.25">
      <c r="A111" s="278" t="str">
        <f t="shared" si="4"/>
        <v>CEBA - CORAZON DE MARIAEBA7</v>
      </c>
      <c r="B111" s="189" t="s">
        <v>134</v>
      </c>
      <c r="C111" s="277" t="s">
        <v>221</v>
      </c>
      <c r="D111" s="2">
        <v>7</v>
      </c>
      <c r="E111" s="265" t="s">
        <v>297</v>
      </c>
    </row>
    <row r="112" spans="1:5" ht="15.75" customHeight="1" thickBot="1" x14ac:dyDescent="0.25">
      <c r="A112" s="278" t="str">
        <f t="shared" si="4"/>
        <v>CEBA - CORAZON DE MARIAEBA8</v>
      </c>
      <c r="B112" s="189" t="s">
        <v>134</v>
      </c>
      <c r="C112" s="277" t="s">
        <v>221</v>
      </c>
      <c r="D112" s="2">
        <v>8</v>
      </c>
      <c r="E112" s="266" t="s">
        <v>293</v>
      </c>
    </row>
    <row r="113" spans="1:5" ht="15.75" customHeight="1" thickBot="1" x14ac:dyDescent="0.25">
      <c r="A113" s="278" t="str">
        <f t="shared" si="4"/>
        <v>CEBA - CORAZON DE MARIAEBA9</v>
      </c>
      <c r="B113" s="189" t="s">
        <v>134</v>
      </c>
      <c r="C113" s="277" t="s">
        <v>221</v>
      </c>
      <c r="D113" s="2">
        <v>9</v>
      </c>
      <c r="E113" s="267" t="s">
        <v>296</v>
      </c>
    </row>
    <row r="114" spans="1:5" ht="16.5" thickBot="1" x14ac:dyDescent="0.25">
      <c r="A114" s="278" t="str">
        <f t="shared" si="4"/>
        <v>CEBA - CORAZON DE MARIAEBA10</v>
      </c>
      <c r="B114" s="189" t="s">
        <v>134</v>
      </c>
      <c r="C114" s="277" t="s">
        <v>221</v>
      </c>
      <c r="D114" s="2">
        <v>10</v>
      </c>
      <c r="E114" s="268" t="s">
        <v>158</v>
      </c>
    </row>
    <row r="115" spans="1:5" ht="15.75" customHeight="1" thickBot="1" x14ac:dyDescent="0.25">
      <c r="A115" s="278" t="str">
        <f t="shared" si="4"/>
        <v>CEBA - LA LIBERTADEBA1</v>
      </c>
      <c r="B115" s="193" t="s">
        <v>135</v>
      </c>
      <c r="C115" s="277" t="s">
        <v>221</v>
      </c>
      <c r="D115" s="2">
        <v>1</v>
      </c>
      <c r="E115" s="260" t="s">
        <v>156</v>
      </c>
    </row>
    <row r="116" spans="1:5" ht="15.75" customHeight="1" thickBot="1" x14ac:dyDescent="0.25">
      <c r="A116" s="278" t="str">
        <f t="shared" si="4"/>
        <v>CEBA - LA LIBERTADEBA2</v>
      </c>
      <c r="B116" s="193" t="s">
        <v>135</v>
      </c>
      <c r="C116" s="277" t="s">
        <v>221</v>
      </c>
      <c r="D116" s="2">
        <v>2</v>
      </c>
      <c r="E116" s="261" t="s">
        <v>292</v>
      </c>
    </row>
    <row r="117" spans="1:5" ht="15.75" customHeight="1" thickBot="1" x14ac:dyDescent="0.25">
      <c r="A117" s="278" t="str">
        <f t="shared" si="4"/>
        <v>CEBA - LA LIBERTADEBA3</v>
      </c>
      <c r="B117" s="193" t="s">
        <v>135</v>
      </c>
      <c r="C117" s="277" t="s">
        <v>221</v>
      </c>
      <c r="D117" s="2">
        <v>3</v>
      </c>
      <c r="E117" s="262" t="s">
        <v>300</v>
      </c>
    </row>
    <row r="118" spans="1:5" ht="15.75" customHeight="1" thickBot="1" x14ac:dyDescent="0.25">
      <c r="A118" s="278" t="str">
        <f t="shared" si="4"/>
        <v>CEBA - LA LIBERTADEBA4</v>
      </c>
      <c r="B118" s="193" t="s">
        <v>135</v>
      </c>
      <c r="C118" s="277" t="s">
        <v>221</v>
      </c>
      <c r="D118" s="2">
        <v>4</v>
      </c>
      <c r="E118" s="262" t="s">
        <v>301</v>
      </c>
    </row>
    <row r="119" spans="1:5" ht="15.75" customHeight="1" thickBot="1" x14ac:dyDescent="0.25">
      <c r="A119" s="278" t="str">
        <f t="shared" si="4"/>
        <v>CEBA - LA LIBERTADEBA5</v>
      </c>
      <c r="B119" s="193" t="s">
        <v>135</v>
      </c>
      <c r="C119" s="277" t="s">
        <v>221</v>
      </c>
      <c r="D119" s="2">
        <v>5</v>
      </c>
      <c r="E119" s="263" t="s">
        <v>152</v>
      </c>
    </row>
    <row r="120" spans="1:5" ht="15.75" customHeight="1" thickBot="1" x14ac:dyDescent="0.25">
      <c r="A120" s="278" t="str">
        <f t="shared" si="4"/>
        <v>CEBA - LA LIBERTADEBA6</v>
      </c>
      <c r="B120" s="193" t="s">
        <v>135</v>
      </c>
      <c r="C120" s="277" t="s">
        <v>221</v>
      </c>
      <c r="D120" s="2">
        <v>6</v>
      </c>
      <c r="E120" s="264" t="s">
        <v>157</v>
      </c>
    </row>
    <row r="121" spans="1:5" ht="15.75" customHeight="1" thickBot="1" x14ac:dyDescent="0.25">
      <c r="A121" s="278" t="str">
        <f t="shared" si="4"/>
        <v>CEBA - LA LIBERTADEBA7</v>
      </c>
      <c r="B121" s="193" t="s">
        <v>135</v>
      </c>
      <c r="C121" s="277" t="s">
        <v>221</v>
      </c>
      <c r="D121" s="2">
        <v>7</v>
      </c>
      <c r="E121" s="265" t="s">
        <v>297</v>
      </c>
    </row>
    <row r="122" spans="1:5" ht="15.75" customHeight="1" thickBot="1" x14ac:dyDescent="0.25">
      <c r="A122" s="278" t="str">
        <f t="shared" ref="A122:A134" si="5">B122&amp;C122&amp;D122</f>
        <v>CEBA - LA LIBERTADEBA8</v>
      </c>
      <c r="B122" s="193" t="s">
        <v>135</v>
      </c>
      <c r="C122" s="277" t="s">
        <v>221</v>
      </c>
      <c r="D122" s="2">
        <v>8</v>
      </c>
      <c r="E122" s="266" t="s">
        <v>293</v>
      </c>
    </row>
    <row r="123" spans="1:5" ht="15.75" customHeight="1" thickBot="1" x14ac:dyDescent="0.25">
      <c r="A123" s="278" t="str">
        <f t="shared" si="5"/>
        <v>CEBA - LA LIBERTADEBA9</v>
      </c>
      <c r="B123" s="193" t="s">
        <v>135</v>
      </c>
      <c r="C123" s="277" t="s">
        <v>221</v>
      </c>
      <c r="D123" s="2">
        <v>9</v>
      </c>
      <c r="E123" s="267" t="s">
        <v>296</v>
      </c>
    </row>
    <row r="124" spans="1:5" ht="16.5" thickBot="1" x14ac:dyDescent="0.25">
      <c r="A124" s="278" t="str">
        <f t="shared" si="5"/>
        <v>CEBA - LA LIBERTADEBA10</v>
      </c>
      <c r="B124" s="193" t="s">
        <v>135</v>
      </c>
      <c r="C124" s="277" t="s">
        <v>221</v>
      </c>
      <c r="D124" s="2">
        <v>10</v>
      </c>
      <c r="E124" s="268" t="s">
        <v>158</v>
      </c>
    </row>
    <row r="125" spans="1:5" ht="15.75" customHeight="1" thickBot="1" x14ac:dyDescent="0.25">
      <c r="A125" s="278" t="str">
        <f t="shared" si="5"/>
        <v>CEBA - SAN FRANCISCOEBA1</v>
      </c>
      <c r="B125" s="197" t="s">
        <v>133</v>
      </c>
      <c r="C125" s="277" t="s">
        <v>221</v>
      </c>
      <c r="D125" s="2">
        <v>1</v>
      </c>
      <c r="E125" s="260" t="s">
        <v>156</v>
      </c>
    </row>
    <row r="126" spans="1:5" ht="16.5" thickBot="1" x14ac:dyDescent="0.25">
      <c r="A126" s="278" t="str">
        <f t="shared" si="5"/>
        <v>CEBA - SAN FRANCISCOEBA2</v>
      </c>
      <c r="B126" s="197" t="s">
        <v>133</v>
      </c>
      <c r="C126" s="277" t="s">
        <v>221</v>
      </c>
      <c r="D126" s="2">
        <v>2</v>
      </c>
      <c r="E126" s="261" t="s">
        <v>292</v>
      </c>
    </row>
    <row r="127" spans="1:5" ht="15.75" customHeight="1" thickBot="1" x14ac:dyDescent="0.25">
      <c r="A127" s="278" t="str">
        <f t="shared" si="5"/>
        <v>CEBA - SAN FRANCISCOEBA3</v>
      </c>
      <c r="B127" s="197" t="s">
        <v>133</v>
      </c>
      <c r="C127" s="277" t="s">
        <v>221</v>
      </c>
      <c r="D127" s="2">
        <v>3</v>
      </c>
      <c r="E127" s="262" t="s">
        <v>300</v>
      </c>
    </row>
    <row r="128" spans="1:5" ht="15.75" customHeight="1" thickBot="1" x14ac:dyDescent="0.25">
      <c r="A128" s="278" t="str">
        <f t="shared" si="5"/>
        <v>CEBA - SAN FRANCISCOEBA4</v>
      </c>
      <c r="B128" s="197" t="s">
        <v>133</v>
      </c>
      <c r="C128" s="277" t="s">
        <v>221</v>
      </c>
      <c r="D128" s="2">
        <v>4</v>
      </c>
      <c r="E128" s="262" t="s">
        <v>301</v>
      </c>
    </row>
    <row r="129" spans="1:5" ht="15.75" customHeight="1" thickBot="1" x14ac:dyDescent="0.25">
      <c r="A129" s="278" t="str">
        <f t="shared" si="5"/>
        <v>CEBA - SAN FRANCISCOEBA5</v>
      </c>
      <c r="B129" s="197" t="s">
        <v>133</v>
      </c>
      <c r="C129" s="277" t="s">
        <v>221</v>
      </c>
      <c r="D129" s="2">
        <v>5</v>
      </c>
      <c r="E129" s="263" t="s">
        <v>152</v>
      </c>
    </row>
    <row r="130" spans="1:5" ht="15.75" customHeight="1" thickBot="1" x14ac:dyDescent="0.25">
      <c r="A130" s="278" t="str">
        <f t="shared" si="5"/>
        <v>CEBA - SAN FRANCISCOEBA6</v>
      </c>
      <c r="B130" s="197" t="s">
        <v>133</v>
      </c>
      <c r="C130" s="277" t="s">
        <v>221</v>
      </c>
      <c r="D130" s="2">
        <v>6</v>
      </c>
      <c r="E130" s="264" t="s">
        <v>157</v>
      </c>
    </row>
    <row r="131" spans="1:5" ht="15.75" customHeight="1" thickBot="1" x14ac:dyDescent="0.25">
      <c r="A131" s="278" t="str">
        <f t="shared" si="5"/>
        <v>CEBA - SAN FRANCISCOEBA7</v>
      </c>
      <c r="B131" s="197" t="s">
        <v>133</v>
      </c>
      <c r="C131" s="277" t="s">
        <v>221</v>
      </c>
      <c r="D131" s="2">
        <v>7</v>
      </c>
      <c r="E131" s="265" t="s">
        <v>297</v>
      </c>
    </row>
    <row r="132" spans="1:5" ht="15.75" customHeight="1" thickBot="1" x14ac:dyDescent="0.25">
      <c r="A132" s="278" t="str">
        <f t="shared" si="5"/>
        <v>CEBA - SAN FRANCISCOEBA8</v>
      </c>
      <c r="B132" s="197" t="s">
        <v>133</v>
      </c>
      <c r="C132" s="277" t="s">
        <v>221</v>
      </c>
      <c r="D132" s="2">
        <v>8</v>
      </c>
      <c r="E132" s="266" t="s">
        <v>293</v>
      </c>
    </row>
    <row r="133" spans="1:5" ht="15.75" customHeight="1" thickBot="1" x14ac:dyDescent="0.25">
      <c r="A133" s="278" t="str">
        <f t="shared" si="5"/>
        <v>CEBA - SAN FRANCISCOEBA9</v>
      </c>
      <c r="B133" s="197" t="s">
        <v>133</v>
      </c>
      <c r="C133" s="277" t="s">
        <v>221</v>
      </c>
      <c r="D133" s="2">
        <v>9</v>
      </c>
      <c r="E133" s="267" t="s">
        <v>296</v>
      </c>
    </row>
    <row r="134" spans="1:5" ht="16.5" thickBot="1" x14ac:dyDescent="0.25">
      <c r="A134" s="278" t="str">
        <f t="shared" si="5"/>
        <v>CEBA - SAN FRANCISCOEBA10</v>
      </c>
      <c r="B134" s="197" t="s">
        <v>133</v>
      </c>
      <c r="C134" s="277" t="s">
        <v>221</v>
      </c>
      <c r="D134" s="2">
        <v>10</v>
      </c>
      <c r="E134" s="268" t="s">
        <v>158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D7C6E-7034-4C77-9F6C-1A101E532D8C}">
  <sheetPr codeName="Hoja14"/>
  <dimension ref="A1:C40"/>
  <sheetViews>
    <sheetView workbookViewId="0">
      <selection activeCell="C30" sqref="C30"/>
    </sheetView>
  </sheetViews>
  <sheetFormatPr baseColWidth="10" defaultRowHeight="12.75" x14ac:dyDescent="0.2"/>
  <cols>
    <col min="2" max="2" width="24.7109375" bestFit="1" customWidth="1"/>
    <col min="3" max="3" width="50.7109375" bestFit="1" customWidth="1"/>
  </cols>
  <sheetData>
    <row r="1" spans="1:3" x14ac:dyDescent="0.2">
      <c r="A1">
        <v>1</v>
      </c>
      <c r="B1">
        <v>2</v>
      </c>
      <c r="C1">
        <v>34</v>
      </c>
    </row>
    <row r="2" spans="1:3" x14ac:dyDescent="0.2">
      <c r="A2" s="189" t="s">
        <v>221</v>
      </c>
      <c r="B2" s="189" t="s">
        <v>222</v>
      </c>
    </row>
    <row r="3" spans="1:3" x14ac:dyDescent="0.2">
      <c r="A3" s="193" t="s">
        <v>221</v>
      </c>
      <c r="B3" s="193" t="s">
        <v>222</v>
      </c>
    </row>
    <row r="4" spans="1:3" x14ac:dyDescent="0.2">
      <c r="A4" s="197" t="s">
        <v>221</v>
      </c>
      <c r="B4" s="197" t="s">
        <v>222</v>
      </c>
    </row>
    <row r="5" spans="1:3" x14ac:dyDescent="0.2">
      <c r="A5" s="209" t="s">
        <v>234</v>
      </c>
      <c r="B5" s="209" t="s">
        <v>176</v>
      </c>
    </row>
    <row r="6" spans="1:3" x14ac:dyDescent="0.2">
      <c r="A6" s="213" t="s">
        <v>234</v>
      </c>
      <c r="B6" s="213" t="s">
        <v>176</v>
      </c>
    </row>
    <row r="7" spans="1:3" x14ac:dyDescent="0.2">
      <c r="A7" s="201" t="s">
        <v>234</v>
      </c>
      <c r="B7" s="201" t="s">
        <v>176</v>
      </c>
    </row>
    <row r="8" spans="1:3" x14ac:dyDescent="0.2">
      <c r="A8" s="216" t="s">
        <v>234</v>
      </c>
      <c r="B8" s="216" t="s">
        <v>176</v>
      </c>
    </row>
    <row r="9" spans="1:3" x14ac:dyDescent="0.2">
      <c r="A9" s="218" t="s">
        <v>234</v>
      </c>
      <c r="B9" s="218" t="s">
        <v>176</v>
      </c>
    </row>
    <row r="10" spans="1:3" x14ac:dyDescent="0.2">
      <c r="A10" s="210" t="s">
        <v>234</v>
      </c>
      <c r="B10" s="210" t="s">
        <v>176</v>
      </c>
    </row>
    <row r="11" spans="1:3" x14ac:dyDescent="0.2">
      <c r="A11" s="222" t="s">
        <v>234</v>
      </c>
      <c r="B11" s="222" t="s">
        <v>176</v>
      </c>
    </row>
    <row r="12" spans="1:3" x14ac:dyDescent="0.2">
      <c r="A12" s="223" t="s">
        <v>234</v>
      </c>
      <c r="B12" s="223" t="s">
        <v>176</v>
      </c>
    </row>
    <row r="13" spans="1:3" x14ac:dyDescent="0.2">
      <c r="A13" s="178" t="s">
        <v>175</v>
      </c>
      <c r="B13" s="178" t="s">
        <v>176</v>
      </c>
    </row>
    <row r="14" spans="1:3" x14ac:dyDescent="0.2">
      <c r="A14" s="182" t="s">
        <v>175</v>
      </c>
      <c r="B14" s="182" t="s">
        <v>176</v>
      </c>
    </row>
    <row r="15" spans="1:3" x14ac:dyDescent="0.2">
      <c r="A15" s="186" t="s">
        <v>175</v>
      </c>
      <c r="B15" s="186" t="s">
        <v>176</v>
      </c>
    </row>
    <row r="16" spans="1:3" x14ac:dyDescent="0.2">
      <c r="A16" s="201" t="s">
        <v>175</v>
      </c>
      <c r="B16" s="201" t="s">
        <v>176</v>
      </c>
    </row>
    <row r="17" spans="1:2" x14ac:dyDescent="0.2">
      <c r="A17" s="205" t="s">
        <v>175</v>
      </c>
      <c r="B17" s="205" t="s">
        <v>176</v>
      </c>
    </row>
    <row r="18" spans="1:2" x14ac:dyDescent="0.2">
      <c r="A18" s="208" t="s">
        <v>175</v>
      </c>
      <c r="B18" s="208" t="s">
        <v>176</v>
      </c>
    </row>
    <row r="19" spans="1:2" x14ac:dyDescent="0.2">
      <c r="A19" s="210" t="s">
        <v>175</v>
      </c>
      <c r="B19" s="210" t="s">
        <v>176</v>
      </c>
    </row>
    <row r="20" spans="1:2" x14ac:dyDescent="0.2">
      <c r="A20" s="211" t="s">
        <v>175</v>
      </c>
      <c r="B20" s="211" t="s">
        <v>176</v>
      </c>
    </row>
    <row r="21" spans="1:2" x14ac:dyDescent="0.2">
      <c r="A21" s="212" t="s">
        <v>175</v>
      </c>
      <c r="B21" s="212" t="s">
        <v>176</v>
      </c>
    </row>
    <row r="22" spans="1:2" x14ac:dyDescent="0.2">
      <c r="A22" s="214" t="s">
        <v>175</v>
      </c>
      <c r="B22" s="214" t="s">
        <v>176</v>
      </c>
    </row>
    <row r="23" spans="1:2" x14ac:dyDescent="0.2">
      <c r="A23" s="211" t="s">
        <v>175</v>
      </c>
      <c r="B23" s="211" t="s">
        <v>176</v>
      </c>
    </row>
    <row r="24" spans="1:2" x14ac:dyDescent="0.2">
      <c r="A24" s="209" t="s">
        <v>175</v>
      </c>
      <c r="B24" s="209" t="s">
        <v>176</v>
      </c>
    </row>
    <row r="25" spans="1:2" x14ac:dyDescent="0.2">
      <c r="A25" s="215" t="s">
        <v>175</v>
      </c>
      <c r="B25" s="215" t="s">
        <v>176</v>
      </c>
    </row>
    <row r="26" spans="1:2" x14ac:dyDescent="0.2">
      <c r="A26" s="217" t="s">
        <v>175</v>
      </c>
      <c r="B26" s="217" t="s">
        <v>176</v>
      </c>
    </row>
    <row r="27" spans="1:2" x14ac:dyDescent="0.2">
      <c r="A27" s="186" t="s">
        <v>175</v>
      </c>
      <c r="B27" s="186" t="s">
        <v>176</v>
      </c>
    </row>
    <row r="28" spans="1:2" x14ac:dyDescent="0.2">
      <c r="A28" s="219" t="s">
        <v>175</v>
      </c>
      <c r="B28" s="219" t="s">
        <v>176</v>
      </c>
    </row>
    <row r="29" spans="1:2" x14ac:dyDescent="0.2">
      <c r="A29" s="208" t="s">
        <v>175</v>
      </c>
      <c r="B29" s="208" t="s">
        <v>176</v>
      </c>
    </row>
    <row r="30" spans="1:2" x14ac:dyDescent="0.2">
      <c r="A30" s="220" t="s">
        <v>175</v>
      </c>
      <c r="B30" s="220" t="s">
        <v>176</v>
      </c>
    </row>
    <row r="31" spans="1:2" x14ac:dyDescent="0.2">
      <c r="A31" s="221" t="s">
        <v>175</v>
      </c>
      <c r="B31" s="221" t="s">
        <v>176</v>
      </c>
    </row>
    <row r="32" spans="1:2" x14ac:dyDescent="0.2">
      <c r="A32" s="224" t="s">
        <v>175</v>
      </c>
      <c r="B32" s="224" t="s">
        <v>176</v>
      </c>
    </row>
    <row r="33" spans="1:2" x14ac:dyDescent="0.2">
      <c r="A33" s="221" t="s">
        <v>175</v>
      </c>
      <c r="B33" s="221" t="s">
        <v>176</v>
      </c>
    </row>
    <row r="34" spans="1:2" x14ac:dyDescent="0.2">
      <c r="A34" s="225" t="s">
        <v>175</v>
      </c>
      <c r="B34" s="225" t="s">
        <v>176</v>
      </c>
    </row>
    <row r="35" spans="1:2" x14ac:dyDescent="0.2">
      <c r="A35" s="226" t="s">
        <v>175</v>
      </c>
      <c r="B35" s="226" t="s">
        <v>176</v>
      </c>
    </row>
    <row r="36" spans="1:2" x14ac:dyDescent="0.2">
      <c r="A36" s="223" t="s">
        <v>175</v>
      </c>
      <c r="B36" s="223" t="s">
        <v>176</v>
      </c>
    </row>
    <row r="37" spans="1:2" x14ac:dyDescent="0.2">
      <c r="A37" s="227" t="s">
        <v>175</v>
      </c>
      <c r="B37" s="227" t="s">
        <v>176</v>
      </c>
    </row>
    <row r="38" spans="1:2" x14ac:dyDescent="0.2">
      <c r="A38" s="221" t="s">
        <v>175</v>
      </c>
      <c r="B38" s="221" t="s">
        <v>176</v>
      </c>
    </row>
    <row r="39" spans="1:2" x14ac:dyDescent="0.2">
      <c r="A39" s="214" t="s">
        <v>175</v>
      </c>
      <c r="B39" s="214" t="s">
        <v>176</v>
      </c>
    </row>
    <row r="40" spans="1:2" x14ac:dyDescent="0.2">
      <c r="A40" s="216" t="s">
        <v>175</v>
      </c>
      <c r="B40" s="216" t="s">
        <v>176</v>
      </c>
    </row>
  </sheetData>
  <autoFilter ref="A1:C1" xr:uid="{B8AB5477-235F-4522-AAB9-75FDB3F24E51}">
    <sortState xmlns:xlrd2="http://schemas.microsoft.com/office/spreadsheetml/2017/richdata2" ref="A2:C40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10</vt:i4>
      </vt:variant>
    </vt:vector>
  </HeadingPairs>
  <TitlesOfParts>
    <vt:vector size="22" baseType="lpstr">
      <vt:lpstr>INDICACIONES</vt:lpstr>
      <vt:lpstr>INICIO</vt:lpstr>
      <vt:lpstr>Anexo 01</vt:lpstr>
      <vt:lpstr>Anexo 02-A</vt:lpstr>
      <vt:lpstr>Anexo 03</vt:lpstr>
      <vt:lpstr>Anexo 04</vt:lpstr>
      <vt:lpstr>Anexo 05</vt:lpstr>
      <vt:lpstr>DIRECTOR</vt:lpstr>
      <vt:lpstr>DATA</vt:lpstr>
      <vt:lpstr>Plan de Estudios</vt:lpstr>
      <vt:lpstr>Hoja3</vt:lpstr>
      <vt:lpstr>Hoja4</vt:lpstr>
      <vt:lpstr>area</vt:lpstr>
      <vt:lpstr>'Anexo 01'!Área_de_impresión</vt:lpstr>
      <vt:lpstr>'Anexo 02-A'!Área_de_impresión</vt:lpstr>
      <vt:lpstr>'Anexo 04'!Área_de_impresión</vt:lpstr>
      <vt:lpstr>'Anexo 05'!Área_de_impresión</vt:lpstr>
      <vt:lpstr>areas</vt:lpstr>
      <vt:lpstr>areass</vt:lpstr>
      <vt:lpstr>areass2</vt:lpstr>
      <vt:lpstr>charamaya</vt:lpstr>
      <vt:lpstr>'Anexo 03'!Títulos_a_imprimir</vt:lpstr>
    </vt:vector>
  </TitlesOfParts>
  <Company>UPER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elvis miranda</cp:lastModifiedBy>
  <cp:lastPrinted>2023-12-11T20:15:49Z</cp:lastPrinted>
  <dcterms:created xsi:type="dcterms:W3CDTF">2006-02-13T19:54:41Z</dcterms:created>
  <dcterms:modified xsi:type="dcterms:W3CDTF">2025-08-07T13:21:54Z</dcterms:modified>
</cp:coreProperties>
</file>